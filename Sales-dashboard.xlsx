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hidePivotFieldList="1"/>
  <mc:AlternateContent xmlns:mc="http://schemas.openxmlformats.org/markup-compatibility/2006">
    <mc:Choice Requires="x15">
      <x15ac:absPath xmlns:x15ac="http://schemas.microsoft.com/office/spreadsheetml/2010/11/ac" url="C:\Users\HP\Desktop\SHARISTHA\"/>
    </mc:Choice>
  </mc:AlternateContent>
  <xr:revisionPtr revIDLastSave="0" documentId="8_{05B6E2EA-341A-4411-91AE-942CBD1C1582}" xr6:coauthVersionLast="47" xr6:coauthVersionMax="47" xr10:uidLastSave="{00000000-0000-0000-0000-000000000000}"/>
  <bookViews>
    <workbookView xWindow="0" yWindow="0" windowWidth="19815" windowHeight="10920" activeTab="5" xr2:uid="{00000000-000D-0000-FFFF-FFFF00000000}"/>
  </bookViews>
  <sheets>
    <sheet name="ABOUT" sheetId="23" r:id="rId1"/>
    <sheet name="SALESMANS" sheetId="21" r:id="rId2"/>
    <sheet name="PRODUCTS" sheetId="14" r:id="rId3"/>
    <sheet name="PIVOT" sheetId="5" r:id="rId4"/>
    <sheet name="DATA" sheetId="1" r:id="rId5"/>
    <sheet name="DASHBOARD" sheetId="3" r:id="rId6"/>
  </sheets>
  <definedNames>
    <definedName name="_xlcn.WorksheetConnection_Sheet1A1H367" hidden="1">DATA!$A$1:$H$367</definedName>
    <definedName name="Slicer_Item">#N/A</definedName>
    <definedName name="Slicer_Region">#N/A</definedName>
    <definedName name="Timeline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H$367"/>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4" i="5" l="1"/>
  <c r="F2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F2CE44-F43F-49DC-9EF4-520D1F8A0A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A4A3330-D151-4E07-8C67-A0013A504F37}" name="WorksheetConnection_Sheet1!$A$1:$H$367" type="102" refreshedVersion="8" minRefreshableVersion="5">
    <extLst>
      <ext xmlns:x15="http://schemas.microsoft.com/office/spreadsheetml/2010/11/main" uri="{DE250136-89BD-433C-8126-D09CA5730AF9}">
        <x15:connection id="Range" autoDelete="1">
          <x15:rangePr sourceName="_xlcn.WorksheetConnection_Sheet1A1H367"/>
        </x15:connection>
      </ext>
    </extLst>
  </connection>
</connections>
</file>

<file path=xl/sharedStrings.xml><?xml version="1.0" encoding="utf-8"?>
<sst xmlns="http://schemas.openxmlformats.org/spreadsheetml/2006/main" count="1183" uniqueCount="41">
  <si>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</si>
  <si>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</si>
  <si>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</si>
  <si>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</si>
  <si>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</si>
  <si>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</si>
  <si>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</si>
  <si>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</si>
  <si>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</si>
  <si>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</si>
  <si>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</si>
  <si>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</si>
  <si>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</si>
  <si>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</si>
  <si>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</si>
  <si>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</si>
  <si>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</si>
  <si>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</si>
  <si>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</si>
  <si>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</si>
  <si>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</si>
  <si>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</si>
  <si>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</si>
  <si>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</si>
  <si>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Grand Total</t>
  </si>
  <si>
    <t>PRODUCT</t>
  </si>
  <si>
    <t>Sum of Amount</t>
  </si>
  <si>
    <t>Sum of Qty</t>
  </si>
  <si>
    <t>Count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</si>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</sst>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0" fontId="0" fillId="0" borderId="0" xfId="0" applyNumberFormat="1"/>
  </cellXfs>
  <cellStyles count="1">
    <cellStyle name="Normal" xfId="0" builtinId="0"/>
  </cellStyles>
  <dxfs count="4">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[Sales-dashboard.xlsx]PIVOT!PivotTable3</c:name>
    <c:fmtId val="3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3</a:t>
            </a:r>
            <a:r>
              <a:rPr lang="en-US" baseline="0">
                <a:solidFill>
                  <a:schemeClr val="accent1">
                    <a:lumMod val="50000"/>
                  </a:schemeClr>
                </a:solidFill>
              </a:rPr>
              <a:t> Top performing salesman:</a:t>
            </a:r>
            <a:endParaRPr lang="en-US">
              <a:solidFill>
                <a:schemeClr val="accent1">
                  <a:lumMod val="50000"/>
                </a:schemeClr>
              </a:solidFill>
            </a:endParaRPr>
          </a:p>
        </c:rich>
      </c:tx>
      <c:layout>
        <c:manualLayout>
          <c:xMode val="edge"/>
          <c:yMode val="edge"/>
          <c:x val="0.150609007803685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1.099010823245443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9306890173032"/>
          <c:y val="0.32836206896551734"/>
          <c:w val="0.73233126524465109"/>
          <c:h val="0.58543103448275857"/>
        </c:manualLayout>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89E3-4272-94E7-09CA0483BB08}"/>
              </c:ext>
            </c:extLst>
          </c:dPt>
          <c:dLbls>
            <c:dLbl>
              <c:idx val="2"/>
              <c:layout>
                <c:manualLayout>
                  <c:x val="0"/>
                  <c:y val="1.0990108232454432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E3-4272-94E7-09CA0483BB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Ajit Kumar</c:v>
                </c:pt>
                <c:pt idx="1">
                  <c:v>Rohit Das</c:v>
                </c:pt>
                <c:pt idx="2">
                  <c:v>Siddhu</c:v>
                </c:pt>
              </c:strCache>
            </c:strRef>
          </c:cat>
          <c:val>
            <c:numRef>
              <c:f>PIVOT!$B$4:$B$7</c:f>
              <c:numCache>
                <c:formatCode>#,##0</c:formatCode>
                <c:ptCount val="3"/>
                <c:pt idx="0">
                  <c:v>386030</c:v>
                </c:pt>
                <c:pt idx="1">
                  <c:v>394410</c:v>
                </c:pt>
                <c:pt idx="2">
                  <c:v>551960</c:v>
                </c:pt>
              </c:numCache>
            </c:numRef>
          </c:val>
          <c:extLst>
            <c:ext xmlns:c16="http://schemas.microsoft.com/office/drawing/2014/chart" uri="{C3380CC4-5D6E-409C-BE32-E72D297353CC}">
              <c16:uniqueId val="{00000000-5161-4648-90A8-EFC24AAC1D2C}"/>
            </c:ext>
          </c:extLst>
        </c:ser>
        <c:dLbls>
          <c:dLblPos val="outEnd"/>
          <c:showLegendKey val="0"/>
          <c:showVal val="1"/>
          <c:showCatName val="0"/>
          <c:showSerName val="0"/>
          <c:showPercent val="0"/>
          <c:showBubbleSize val="0"/>
        </c:dLbls>
        <c:gapWidth val="182"/>
        <c:axId val="2046790512"/>
        <c:axId val="2046783440"/>
      </c:barChart>
      <c:catAx>
        <c:axId val="204679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783440"/>
        <c:crosses val="autoZero"/>
        <c:auto val="1"/>
        <c:lblAlgn val="ctr"/>
        <c:lblOffset val="100"/>
        <c:noMultiLvlLbl val="0"/>
      </c:catAx>
      <c:valAx>
        <c:axId val="2046783440"/>
        <c:scaling>
          <c:orientation val="minMax"/>
        </c:scaling>
        <c:delete val="1"/>
        <c:axPos val="b"/>
        <c:numFmt formatCode="#,##0" sourceLinked="1"/>
        <c:majorTickMark val="none"/>
        <c:minorTickMark val="none"/>
        <c:tickLblPos val="nextTo"/>
        <c:crossAx val="204679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[Sales-dashboard.xlsx]PIVOT!PivotTable9</c:name>
    <c:fmtId val="4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sz="1400">
                <a:solidFill>
                  <a:schemeClr val="accent1">
                    <a:lumMod val="50000"/>
                  </a:schemeClr>
                </a:solidFill>
              </a:rPr>
              <a:t>3</a:t>
            </a:r>
            <a:r>
              <a:rPr lang="en-US" sz="1400" baseline="0">
                <a:solidFill>
                  <a:schemeClr val="accent1">
                    <a:lumMod val="50000"/>
                  </a:schemeClr>
                </a:solidFill>
              </a:rPr>
              <a:t> Poor performinng salesman:</a:t>
            </a:r>
            <a:endParaRPr lang="en-US" sz="1400">
              <a:solidFill>
                <a:schemeClr val="accent1">
                  <a:lumMod val="50000"/>
                </a:schemeClr>
              </a:solidFill>
            </a:endParaRPr>
          </a:p>
        </c:rich>
      </c:tx>
      <c:layout>
        <c:manualLayout>
          <c:xMode val="edge"/>
          <c:yMode val="edge"/>
          <c:x val="9.7433070866141738E-2"/>
          <c:y val="1.5065922307292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PIVOT!$A$13:$A$16</c:f>
              <c:strCache>
                <c:ptCount val="3"/>
                <c:pt idx="0">
                  <c:v>Amit</c:v>
                </c:pt>
                <c:pt idx="1">
                  <c:v>Chandu</c:v>
                </c:pt>
                <c:pt idx="2">
                  <c:v>Ramesh</c:v>
                </c:pt>
              </c:strCache>
            </c:strRef>
          </c:cat>
          <c:val>
            <c:numRef>
              <c:f>PIVOT!$B$13:$B$16</c:f>
              <c:numCache>
                <c:formatCode>#,##0</c:formatCode>
                <c:ptCount val="3"/>
                <c:pt idx="0">
                  <c:v>184690</c:v>
                </c:pt>
                <c:pt idx="1">
                  <c:v>125600</c:v>
                </c:pt>
                <c:pt idx="2">
                  <c:v>139880</c:v>
                </c:pt>
              </c:numCache>
            </c:numRef>
          </c:val>
          <c:extLst>
            <c:ext xmlns:c16="http://schemas.microsoft.com/office/drawing/2014/chart" uri="{C3380CC4-5D6E-409C-BE32-E72D297353CC}">
              <c16:uniqueId val="{00000000-99C6-4411-8539-228A5E818367}"/>
            </c:ext>
          </c:extLst>
        </c:ser>
        <c:dLbls>
          <c:dLblPos val="outEnd"/>
          <c:showLegendKey val="0"/>
          <c:showVal val="1"/>
          <c:showCatName val="0"/>
          <c:showSerName val="0"/>
          <c:showPercent val="0"/>
          <c:showBubbleSize val="0"/>
        </c:dLbls>
        <c:gapWidth val="182"/>
        <c:axId val="455188480"/>
        <c:axId val="455190144"/>
      </c:barChart>
      <c:catAx>
        <c:axId val="45518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190144"/>
        <c:crosses val="autoZero"/>
        <c:auto val="1"/>
        <c:lblAlgn val="ctr"/>
        <c:lblOffset val="100"/>
        <c:noMultiLvlLbl val="0"/>
      </c:catAx>
      <c:valAx>
        <c:axId val="455190144"/>
        <c:scaling>
          <c:orientation val="minMax"/>
        </c:scaling>
        <c:delete val="1"/>
        <c:axPos val="b"/>
        <c:numFmt formatCode="#,##0" sourceLinked="1"/>
        <c:majorTickMark val="none"/>
        <c:minorTickMark val="none"/>
        <c:tickLblPos val="nextTo"/>
        <c:crossAx val="45518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[Sales-dashboard.xlsx]PIVOT!PivotTable2</c:name>
    <c:fmtId val="4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Salesman</a:t>
            </a:r>
            <a:r>
              <a:rPr lang="en-US" baseline="0">
                <a:solidFill>
                  <a:schemeClr val="accent1">
                    <a:lumMod val="50000"/>
                  </a:schemeClr>
                </a:solidFill>
              </a:rPr>
              <a:t> performance:</a:t>
            </a:r>
            <a:endParaRPr lang="en-US">
              <a:solidFill>
                <a:schemeClr val="accent1">
                  <a:lumMod val="50000"/>
                </a:schemeClr>
              </a:solidFill>
            </a:endParaRPr>
          </a:p>
        </c:rich>
      </c:tx>
      <c:layout>
        <c:manualLayout>
          <c:xMode val="edge"/>
          <c:yMode val="edge"/>
          <c:x val="0.3563888888888888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PIVOT!$K$22:$K$28</c:f>
              <c:strCache>
                <c:ptCount val="6"/>
                <c:pt idx="0">
                  <c:v>Ajit Kumar</c:v>
                </c:pt>
                <c:pt idx="1">
                  <c:v>Amit</c:v>
                </c:pt>
                <c:pt idx="2">
                  <c:v>Chandu</c:v>
                </c:pt>
                <c:pt idx="3">
                  <c:v>Ramesh</c:v>
                </c:pt>
                <c:pt idx="4">
                  <c:v>Rohit Das</c:v>
                </c:pt>
                <c:pt idx="5">
                  <c:v>Siddhu</c:v>
                </c:pt>
              </c:strCache>
            </c:strRef>
          </c:cat>
          <c:val>
            <c:numRef>
              <c:f>PIVOT!$L$22:$L$28</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661D-40DF-B6C8-8EBC0FDABE8E}"/>
            </c:ext>
          </c:extLst>
        </c:ser>
        <c:dLbls>
          <c:dLblPos val="outEnd"/>
          <c:showLegendKey val="0"/>
          <c:showVal val="1"/>
          <c:showCatName val="0"/>
          <c:showSerName val="0"/>
          <c:showPercent val="0"/>
          <c:showBubbleSize val="0"/>
        </c:dLbls>
        <c:gapWidth val="219"/>
        <c:overlap val="-27"/>
        <c:axId val="338937280"/>
        <c:axId val="338956000"/>
      </c:barChart>
      <c:catAx>
        <c:axId val="33893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56000"/>
        <c:crosses val="autoZero"/>
        <c:auto val="1"/>
        <c:lblAlgn val="ctr"/>
        <c:lblOffset val="100"/>
        <c:noMultiLvlLbl val="0"/>
      </c:catAx>
      <c:valAx>
        <c:axId val="338956000"/>
        <c:scaling>
          <c:orientation val="minMax"/>
        </c:scaling>
        <c:delete val="1"/>
        <c:axPos val="l"/>
        <c:numFmt formatCode="General" sourceLinked="1"/>
        <c:majorTickMark val="none"/>
        <c:minorTickMark val="none"/>
        <c:tickLblPos val="nextTo"/>
        <c:crossAx val="33893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Sale</a:t>
            </a:r>
            <a:r>
              <a:rPr lang="en-US" baseline="0">
                <a:solidFill>
                  <a:schemeClr val="accent1">
                    <a:lumMod val="50000"/>
                  </a:schemeClr>
                </a:solidFill>
              </a:rPr>
              <a:t> of products by quantity</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09949515298809"/>
          <c:y val="0.12981678593107457"/>
          <c:w val="0.60408573928258968"/>
          <c:h val="0.72088764946048411"/>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Keyboard</c:v>
              </c:pt>
              <c:pt idx="1">
                <c:v>Monitor</c:v>
              </c:pt>
              <c:pt idx="2">
                <c:v>Mouse</c:v>
              </c:pt>
              <c:pt idx="3">
                <c:v>Printer</c:v>
              </c:pt>
              <c:pt idx="4">
                <c:v>Scanner</c:v>
              </c:pt>
              <c:pt idx="5">
                <c:v>Speaker</c:v>
              </c:pt>
            </c:strLit>
          </c:cat>
          <c:val>
            <c:numLit>
              <c:formatCode>General</c:formatCode>
              <c:ptCount val="6"/>
              <c:pt idx="0">
                <c:v>132</c:v>
              </c:pt>
              <c:pt idx="1">
                <c:v>251</c:v>
              </c:pt>
              <c:pt idx="2">
                <c:v>319</c:v>
              </c:pt>
              <c:pt idx="3">
                <c:v>445</c:v>
              </c:pt>
              <c:pt idx="4">
                <c:v>242</c:v>
              </c:pt>
              <c:pt idx="5">
                <c:v>218</c:v>
              </c:pt>
            </c:numLit>
          </c:val>
          <c:extLst>
            <c:ext xmlns:c16="http://schemas.microsoft.com/office/drawing/2014/chart" uri="{C3380CC4-5D6E-409C-BE32-E72D297353CC}">
              <c16:uniqueId val="{00000000-48A4-4E3A-87C1-1C637C229339}"/>
            </c:ext>
          </c:extLst>
        </c:ser>
        <c:dLbls>
          <c:dLblPos val="outEnd"/>
          <c:showLegendKey val="0"/>
          <c:showVal val="1"/>
          <c:showCatName val="0"/>
          <c:showSerName val="0"/>
          <c:showPercent val="0"/>
          <c:showBubbleSize val="0"/>
        </c:dLbls>
        <c:gapWidth val="219"/>
        <c:overlap val="-27"/>
        <c:axId val="2046778864"/>
        <c:axId val="2046787184"/>
      </c:barChart>
      <c:catAx>
        <c:axId val="204677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787184"/>
        <c:crosses val="autoZero"/>
        <c:auto val="1"/>
        <c:lblAlgn val="ctr"/>
        <c:lblOffset val="100"/>
        <c:noMultiLvlLbl val="0"/>
      </c:catAx>
      <c:valAx>
        <c:axId val="2046787184"/>
        <c:scaling>
          <c:orientation val="minMax"/>
        </c:scaling>
        <c:delete val="1"/>
        <c:axPos val="l"/>
        <c:numFmt formatCode="General" sourceLinked="1"/>
        <c:majorTickMark val="none"/>
        <c:minorTickMark val="none"/>
        <c:tickLblPos val="nextTo"/>
        <c:crossAx val="204677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[Sales-dashboard.xlsx]PIVOT!PivotTable13</c:name>
    <c:fmtId val="102"/>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Top</a:t>
            </a:r>
            <a:r>
              <a:rPr lang="en-US" baseline="0">
                <a:solidFill>
                  <a:schemeClr val="accent1">
                    <a:lumMod val="50000"/>
                  </a:schemeClr>
                </a:solidFill>
              </a:rPr>
              <a:t> 3 selling products:</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1202974628173"/>
          <c:y val="0.22263888888888889"/>
          <c:w val="0.84448797025371825"/>
          <c:h val="0.77736111111111106"/>
        </c:manualLayout>
      </c:layout>
      <c:barChart>
        <c:barDir val="bar"/>
        <c:grouping val="clustered"/>
        <c:varyColors val="0"/>
        <c:ser>
          <c:idx val="0"/>
          <c:order val="0"/>
          <c:tx>
            <c:strRef>
              <c:f>PIVOT!$P$3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PIVOT!$O$4:$O$7</c:f>
              <c:strCache>
                <c:ptCount val="3"/>
                <c:pt idx="0">
                  <c:v>Mouse</c:v>
                </c:pt>
                <c:pt idx="1">
                  <c:v>Printer</c:v>
                </c:pt>
                <c:pt idx="2">
                  <c:v>Speaker</c:v>
                </c:pt>
              </c:strCache>
            </c:strRef>
          </c:cat>
          <c:val>
            <c:numRef>
              <c:f>PIVOT!$P$4:$P$7</c:f>
              <c:numCache>
                <c:formatCode>#,##0</c:formatCode>
                <c:ptCount val="3"/>
                <c:pt idx="0">
                  <c:v>80</c:v>
                </c:pt>
                <c:pt idx="1">
                  <c:v>73</c:v>
                </c:pt>
                <c:pt idx="2">
                  <c:v>61</c:v>
                </c:pt>
              </c:numCache>
            </c:numRef>
          </c:val>
          <c:extLst>
            <c:ext xmlns:c16="http://schemas.microsoft.com/office/drawing/2014/chart" uri="{C3380CC4-5D6E-409C-BE32-E72D297353CC}">
              <c16:uniqueId val="{00000000-63C5-4A90-B73A-927448449CD5}"/>
            </c:ext>
          </c:extLst>
        </c:ser>
        <c:dLbls>
          <c:dLblPos val="outEnd"/>
          <c:showLegendKey val="0"/>
          <c:showVal val="1"/>
          <c:showCatName val="0"/>
          <c:showSerName val="0"/>
          <c:showPercent val="0"/>
          <c:showBubbleSize val="0"/>
        </c:dLbls>
        <c:gapWidth val="182"/>
        <c:axId val="1165977008"/>
        <c:axId val="1165982416"/>
      </c:barChart>
      <c:catAx>
        <c:axId val="1165977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982416"/>
        <c:crosses val="autoZero"/>
        <c:auto val="1"/>
        <c:lblAlgn val="ctr"/>
        <c:lblOffset val="100"/>
        <c:noMultiLvlLbl val="0"/>
      </c:catAx>
      <c:valAx>
        <c:axId val="1165982416"/>
        <c:scaling>
          <c:orientation val="minMax"/>
        </c:scaling>
        <c:delete val="1"/>
        <c:axPos val="b"/>
        <c:numFmt formatCode="#,##0" sourceLinked="1"/>
        <c:majorTickMark val="none"/>
        <c:minorTickMark val="none"/>
        <c:tickLblPos val="nextTo"/>
        <c:crossAx val="11659770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[Sales-dashboard.xlsx]PIVOT!PivotTable14</c:name>
    <c:fmtId val="10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Top</a:t>
            </a:r>
            <a:r>
              <a:rPr lang="en-US" baseline="0">
                <a:solidFill>
                  <a:schemeClr val="accent1">
                    <a:lumMod val="50000"/>
                  </a:schemeClr>
                </a:solidFill>
              </a:rPr>
              <a:t> 3 less selling products:</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1460683435277781"/>
              <c:y val="-3.96820542191861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782772651146496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6966300087380957"/>
              <c:y val="1.73160055111253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9700386239755286"/>
              <c:y val="8.96860353193489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7062554680665"/>
          <c:y val="0.22263888888888889"/>
          <c:w val="0.8312937445319335"/>
          <c:h val="0.77736111111111106"/>
        </c:manualLayout>
      </c:layout>
      <c:barChart>
        <c:barDir val="bar"/>
        <c:grouping val="stacked"/>
        <c:varyColors val="0"/>
        <c:ser>
          <c:idx val="0"/>
          <c:order val="0"/>
          <c:tx>
            <c:strRef>
              <c:f>PIVOT!$P$12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1A0A-4148-8BDB-367246F54151}"/>
              </c:ext>
            </c:extLst>
          </c:dPt>
          <c:dPt>
            <c:idx val="1"/>
            <c:invertIfNegative val="0"/>
            <c:bubble3D val="0"/>
            <c:extLst>
              <c:ext xmlns:c16="http://schemas.microsoft.com/office/drawing/2014/chart" uri="{C3380CC4-5D6E-409C-BE32-E72D297353CC}">
                <c16:uniqueId val="{00000002-1A0A-4148-8BDB-367246F54151}"/>
              </c:ext>
            </c:extLst>
          </c:dPt>
          <c:dPt>
            <c:idx val="2"/>
            <c:invertIfNegative val="0"/>
            <c:bubble3D val="0"/>
            <c:extLst>
              <c:ext xmlns:c16="http://schemas.microsoft.com/office/drawing/2014/chart" uri="{C3380CC4-5D6E-409C-BE32-E72D297353CC}">
                <c16:uniqueId val="{00000001-1A0A-4148-8BDB-367246F54151}"/>
              </c:ext>
            </c:extLst>
          </c:dPt>
          <c:dLbls>
            <c:dLbl>
              <c:idx val="0"/>
              <c:layout>
                <c:manualLayout>
                  <c:x val="0.26966300087380957"/>
                  <c:y val="1.731600551112537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0A-4148-8BDB-367246F541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PIVOT!$O$13:$O$16</c:f>
              <c:strCache>
                <c:ptCount val="3"/>
                <c:pt idx="0">
                  <c:v>Keyboard</c:v>
                </c:pt>
                <c:pt idx="1">
                  <c:v>Monitor</c:v>
                </c:pt>
                <c:pt idx="2">
                  <c:v>Scanner</c:v>
                </c:pt>
              </c:strCache>
            </c:strRef>
          </c:cat>
          <c:val>
            <c:numRef>
              <c:f>PIVOT!$P$13:$P$16</c:f>
              <c:numCache>
                <c:formatCode>General</c:formatCode>
                <c:ptCount val="3"/>
                <c:pt idx="0">
                  <c:v>54</c:v>
                </c:pt>
                <c:pt idx="1">
                  <c:v>45</c:v>
                </c:pt>
                <c:pt idx="2">
                  <c:v>53</c:v>
                </c:pt>
              </c:numCache>
            </c:numRef>
          </c:val>
          <c:extLst>
            <c:ext xmlns:c16="http://schemas.microsoft.com/office/drawing/2014/chart" uri="{C3380CC4-5D6E-409C-BE32-E72D297353CC}">
              <c16:uniqueId val="{00000000-1A0A-4148-8BDB-367246F54151}"/>
            </c:ext>
          </c:extLst>
        </c:ser>
        <c:dLbls>
          <c:dLblPos val="ctr"/>
          <c:showLegendKey val="0"/>
          <c:showVal val="1"/>
          <c:showCatName val="0"/>
          <c:showSerName val="0"/>
          <c:showPercent val="0"/>
          <c:showBubbleSize val="0"/>
        </c:dLbls>
        <c:gapWidth val="150"/>
        <c:overlap val="100"/>
        <c:axId val="1064844592"/>
        <c:axId val="1064835856"/>
      </c:barChart>
      <c:catAx>
        <c:axId val="106484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835856"/>
        <c:crosses val="autoZero"/>
        <c:auto val="1"/>
        <c:lblAlgn val="ctr"/>
        <c:lblOffset val="100"/>
        <c:noMultiLvlLbl val="0"/>
      </c:catAx>
      <c:valAx>
        <c:axId val="1064835856"/>
        <c:scaling>
          <c:orientation val="minMax"/>
        </c:scaling>
        <c:delete val="1"/>
        <c:axPos val="b"/>
        <c:numFmt formatCode="General" sourceLinked="1"/>
        <c:majorTickMark val="none"/>
        <c:minorTickMark val="none"/>
        <c:tickLblPos val="nextTo"/>
        <c:crossAx val="106484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Sale</a:t>
            </a:r>
            <a:r>
              <a:rPr lang="en-US" baseline="0">
                <a:solidFill>
                  <a:schemeClr val="accent1">
                    <a:lumMod val="50000"/>
                  </a:schemeClr>
                </a:solidFill>
              </a:rPr>
              <a:t> by region:</a:t>
            </a:r>
            <a:endParaRPr lang="en-US">
              <a:solidFill>
                <a:schemeClr val="accent1">
                  <a:lumMod val="50000"/>
                </a:schemeClr>
              </a:solidFill>
            </a:endParaRPr>
          </a:p>
        </c:rich>
      </c:tx>
      <c:layout>
        <c:manualLayout>
          <c:xMode val="edge"/>
          <c:yMode val="edge"/>
          <c:x val="0.36848600174978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5555555555555558E-3"/>
              <c:y val="-0.194444262175561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2666666666666661E-2"/>
                  <c:h val="8.3264071157771929E-2"/>
                </c:manualLayout>
              </c15:layout>
            </c:ext>
          </c:extLst>
        </c:dLbl>
      </c:pivotFmt>
      <c:pivotFmt>
        <c:idx val="2"/>
        <c:spPr>
          <a:solidFill>
            <a:schemeClr val="accent1"/>
          </a:solidFill>
          <a:ln>
            <a:noFill/>
          </a:ln>
          <a:effectLst/>
        </c:spPr>
        <c:dLbl>
          <c:idx val="0"/>
          <c:layout>
            <c:manualLayout>
              <c:x val="5.5555555555554534E-3"/>
              <c:y val="-0.27314814814814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8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5555555555555558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5555555555555558E-3"/>
              <c:y val="-0.194444262175561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2666666666666661E-2"/>
                  <c:h val="8.3264071157771929E-2"/>
                </c:manualLayout>
              </c15:layout>
            </c:ext>
          </c:extLst>
        </c:dLbl>
      </c:pivotFmt>
      <c:pivotFmt>
        <c:idx val="9"/>
        <c:spPr>
          <a:solidFill>
            <a:schemeClr val="accent1"/>
          </a:solidFill>
          <a:ln>
            <a:noFill/>
          </a:ln>
          <a:effectLst/>
        </c:spPr>
        <c:dLbl>
          <c:idx val="0"/>
          <c:layout>
            <c:manualLayout>
              <c:x val="5.5555555555554534E-3"/>
              <c:y val="-0.27314814814814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5555555555555558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4.2803550079811202E-4"/>
              <c:y val="-0.207580669184971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258446751747655"/>
                  <c:h val="0.12267270590863767"/>
                </c:manualLayout>
              </c15:layout>
            </c:ext>
          </c:extLst>
        </c:dLbl>
      </c:pivotFmt>
      <c:pivotFmt>
        <c:idx val="14"/>
        <c:spPr>
          <a:solidFill>
            <a:schemeClr val="accent1"/>
          </a:solidFill>
          <a:ln>
            <a:noFill/>
          </a:ln>
          <a:effectLst/>
        </c:spPr>
        <c:dLbl>
          <c:idx val="0"/>
          <c:layout>
            <c:manualLayout>
              <c:x val="5.5555555555554534E-3"/>
              <c:y val="-0.27314814814814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59165528663161E-2"/>
          <c:y val="0.11604353798350829"/>
          <c:w val="0.93888888888888888"/>
          <c:h val="0.72088764946048411"/>
        </c:manualLayout>
      </c:layout>
      <c:barChart>
        <c:barDir val="col"/>
        <c:grouping val="stacked"/>
        <c:varyColors val="0"/>
        <c:ser>
          <c:idx val="0"/>
          <c:order val="0"/>
          <c:tx>
            <c:v>Series1</c:v>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659-4D69-A9C9-ED2EC8A79B60}"/>
              </c:ext>
            </c:extLst>
          </c:dPt>
          <c:dPt>
            <c:idx val="1"/>
            <c:invertIfNegative val="0"/>
            <c:bubble3D val="0"/>
            <c:extLst>
              <c:ext xmlns:c16="http://schemas.microsoft.com/office/drawing/2014/chart" uri="{C3380CC4-5D6E-409C-BE32-E72D297353CC}">
                <c16:uniqueId val="{00000001-6659-4D69-A9C9-ED2EC8A79B60}"/>
              </c:ext>
            </c:extLst>
          </c:dPt>
          <c:dPt>
            <c:idx val="2"/>
            <c:invertIfNegative val="0"/>
            <c:bubble3D val="0"/>
            <c:extLst>
              <c:ext xmlns:c16="http://schemas.microsoft.com/office/drawing/2014/chart" uri="{C3380CC4-5D6E-409C-BE32-E72D297353CC}">
                <c16:uniqueId val="{00000002-6659-4D69-A9C9-ED2EC8A79B60}"/>
              </c:ext>
            </c:extLst>
          </c:dPt>
          <c:dPt>
            <c:idx val="3"/>
            <c:invertIfNegative val="0"/>
            <c:bubble3D val="0"/>
            <c:extLst>
              <c:ext xmlns:c16="http://schemas.microsoft.com/office/drawing/2014/chart" uri="{C3380CC4-5D6E-409C-BE32-E72D297353CC}">
                <c16:uniqueId val="{00000003-6659-4D69-A9C9-ED2EC8A79B60}"/>
              </c:ext>
            </c:extLst>
          </c:dPt>
          <c:dLbls>
            <c:dLbl>
              <c:idx val="0"/>
              <c:layout>
                <c:manualLayout>
                  <c:x val="-5.5555555555555558E-3"/>
                  <c:y val="-0.356481481481481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59-4D69-A9C9-ED2EC8A79B60}"/>
                </c:ext>
              </c:extLst>
            </c:dLbl>
            <c:dLbl>
              <c:idx val="1"/>
              <c:layout>
                <c:manualLayout>
                  <c:x val="0"/>
                  <c:y val="-0.143518518518518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59-4D69-A9C9-ED2EC8A79B60}"/>
                </c:ext>
              </c:extLst>
            </c:dLbl>
            <c:dLbl>
              <c:idx val="2"/>
              <c:layout>
                <c:manualLayout>
                  <c:x val="-4.2803550079811202E-4"/>
                  <c:y val="-0.207580669184971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258446751747655"/>
                      <c:h val="0.12267270590863767"/>
                    </c:manualLayout>
                  </c15:layout>
                </c:ext>
                <c:ext xmlns:c16="http://schemas.microsoft.com/office/drawing/2014/chart" uri="{C3380CC4-5D6E-409C-BE32-E72D297353CC}">
                  <c16:uniqueId val="{00000002-6659-4D69-A9C9-ED2EC8A79B60}"/>
                </c:ext>
              </c:extLst>
            </c:dLbl>
            <c:dLbl>
              <c:idx val="3"/>
              <c:layout>
                <c:manualLayout>
                  <c:x val="5.5555555555554534E-3"/>
                  <c:y val="-0.273148148148148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59-4D69-A9C9-ED2EC8A79B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736080</c:v>
              </c:pt>
              <c:pt idx="1">
                <c:v>203680</c:v>
              </c:pt>
              <c:pt idx="2">
                <c:v>335480</c:v>
              </c:pt>
              <c:pt idx="3">
                <c:v>507330</c:v>
              </c:pt>
            </c:numLit>
          </c:val>
          <c:extLst>
            <c:ext xmlns:c16="http://schemas.microsoft.com/office/drawing/2014/chart" uri="{C3380CC4-5D6E-409C-BE32-E72D297353CC}">
              <c16:uniqueId val="{00000004-6659-4D69-A9C9-ED2EC8A79B60}"/>
            </c:ext>
          </c:extLst>
        </c:ser>
        <c:dLbls>
          <c:dLblPos val="ctr"/>
          <c:showLegendKey val="0"/>
          <c:showVal val="1"/>
          <c:showCatName val="0"/>
          <c:showSerName val="0"/>
          <c:showPercent val="0"/>
          <c:showBubbleSize val="0"/>
        </c:dLbls>
        <c:gapWidth val="150"/>
        <c:overlap val="100"/>
        <c:axId val="150022767"/>
        <c:axId val="150018607"/>
      </c:barChart>
      <c:catAx>
        <c:axId val="15002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18607"/>
        <c:crosses val="autoZero"/>
        <c:auto val="1"/>
        <c:lblAlgn val="ctr"/>
        <c:lblOffset val="100"/>
        <c:noMultiLvlLbl val="0"/>
      </c:catAx>
      <c:valAx>
        <c:axId val="150018607"/>
        <c:scaling>
          <c:orientation val="minMax"/>
        </c:scaling>
        <c:delete val="1"/>
        <c:axPos val="l"/>
        <c:numFmt formatCode="General" sourceLinked="1"/>
        <c:majorTickMark val="none"/>
        <c:minorTickMark val="none"/>
        <c:tickLblPos val="nextTo"/>
        <c:crossAx val="15002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[Sales-dashboard.xlsx]PIVOT!PivotTable1</c:name>
    <c:fmtId val="115"/>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Sale</a:t>
            </a:r>
            <a:r>
              <a:rPr lang="en-US" baseline="0">
                <a:solidFill>
                  <a:schemeClr val="accent1">
                    <a:lumMod val="50000"/>
                  </a:schemeClr>
                </a:solidFill>
              </a:rPr>
              <a:t> of products:</a:t>
            </a:r>
            <a:endParaRPr lang="en-US">
              <a:solidFill>
                <a:schemeClr val="accent1">
                  <a:lumMod val="50000"/>
                </a:schemeClr>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32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888888888888889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9444444444444456"/>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8055555555555555"/>
              <c:y val="-9.2592592592594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749999999999998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3749999999999998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18055555555555555"/>
              <c:y val="-9.2592592592594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9444444444444456"/>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888888888888889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6.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333333333333332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415178571428571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26537682789651296"/>
              <c:y val="-9.25942073772621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9444444444444456"/>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8.888888888888889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00594066366704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8.333333333333332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7292213473315"/>
          <c:y val="0.15782407407407409"/>
          <c:w val="0.8312937445319335"/>
          <c:h val="0.77736111111111106"/>
        </c:manualLayout>
      </c:layout>
      <c:barChart>
        <c:barDir val="bar"/>
        <c:grouping val="stacked"/>
        <c:varyColors val="0"/>
        <c:ser>
          <c:idx val="0"/>
          <c:order val="0"/>
          <c:tx>
            <c:strRef>
              <c:f>PIVOT!$F$12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18D6-4E28-B3AD-C6631A49B691}"/>
              </c:ext>
            </c:extLst>
          </c:dPt>
          <c:dPt>
            <c:idx val="1"/>
            <c:invertIfNegative val="0"/>
            <c:bubble3D val="0"/>
            <c:extLst>
              <c:ext xmlns:c16="http://schemas.microsoft.com/office/drawing/2014/chart" uri="{C3380CC4-5D6E-409C-BE32-E72D297353CC}">
                <c16:uniqueId val="{00000001-18D6-4E28-B3AD-C6631A49B691}"/>
              </c:ext>
            </c:extLst>
          </c:dPt>
          <c:dPt>
            <c:idx val="2"/>
            <c:invertIfNegative val="0"/>
            <c:bubble3D val="0"/>
            <c:extLst>
              <c:ext xmlns:c16="http://schemas.microsoft.com/office/drawing/2014/chart" uri="{C3380CC4-5D6E-409C-BE32-E72D297353CC}">
                <c16:uniqueId val="{00000002-18D6-4E28-B3AD-C6631A49B691}"/>
              </c:ext>
            </c:extLst>
          </c:dPt>
          <c:dPt>
            <c:idx val="3"/>
            <c:invertIfNegative val="0"/>
            <c:bubble3D val="0"/>
            <c:extLst>
              <c:ext xmlns:c16="http://schemas.microsoft.com/office/drawing/2014/chart" uri="{C3380CC4-5D6E-409C-BE32-E72D297353CC}">
                <c16:uniqueId val="{00000003-18D6-4E28-B3AD-C6631A49B691}"/>
              </c:ext>
            </c:extLst>
          </c:dPt>
          <c:dPt>
            <c:idx val="4"/>
            <c:invertIfNegative val="0"/>
            <c:bubble3D val="0"/>
            <c:extLst>
              <c:ext xmlns:c16="http://schemas.microsoft.com/office/drawing/2014/chart" uri="{C3380CC4-5D6E-409C-BE32-E72D297353CC}">
                <c16:uniqueId val="{00000004-18D6-4E28-B3AD-C6631A49B691}"/>
              </c:ext>
            </c:extLst>
          </c:dPt>
          <c:dPt>
            <c:idx val="5"/>
            <c:invertIfNegative val="0"/>
            <c:bubble3D val="0"/>
            <c:extLst>
              <c:ext xmlns:c16="http://schemas.microsoft.com/office/drawing/2014/chart" uri="{C3380CC4-5D6E-409C-BE32-E72D297353CC}">
                <c16:uniqueId val="{00000005-18D6-4E28-B3AD-C6631A49B691}"/>
              </c:ext>
            </c:extLst>
          </c:dPt>
          <c:dLbls>
            <c:dLbl>
              <c:idx val="0"/>
              <c:layout>
                <c:manualLayout>
                  <c:x val="0.4151785714285714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D6-4E28-B3AD-C6631A49B691}"/>
                </c:ext>
              </c:extLst>
            </c:dLbl>
            <c:dLbl>
              <c:idx val="1"/>
              <c:layout>
                <c:manualLayout>
                  <c:x val="0.26537682789651296"/>
                  <c:y val="-9.25942073772621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D6-4E28-B3AD-C6631A49B691}"/>
                </c:ext>
              </c:extLst>
            </c:dLbl>
            <c:dLbl>
              <c:idx val="2"/>
              <c:layout>
                <c:manualLayout>
                  <c:x val="0.19444444444444456"/>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D6-4E28-B3AD-C6631A49B691}"/>
                </c:ext>
              </c:extLst>
            </c:dLbl>
            <c:dLbl>
              <c:idx val="3"/>
              <c:layout>
                <c:manualLayout>
                  <c:x val="8.888888888888889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D6-4E28-B3AD-C6631A49B691}"/>
                </c:ext>
              </c:extLst>
            </c:dLbl>
            <c:dLbl>
              <c:idx val="4"/>
              <c:layout>
                <c:manualLayout>
                  <c:x val="8.00594066366704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D6-4E28-B3AD-C6631A49B691}"/>
                </c:ext>
              </c:extLst>
            </c:dLbl>
            <c:dLbl>
              <c:idx val="5"/>
              <c:layout>
                <c:manualLayout>
                  <c:x val="8.3333333333333329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D6-4E28-B3AD-C6631A49B6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PIVOT!$E$13:$E$19</c:f>
              <c:strCache>
                <c:ptCount val="6"/>
                <c:pt idx="0">
                  <c:v>Printer</c:v>
                </c:pt>
                <c:pt idx="1">
                  <c:v>Scanner</c:v>
                </c:pt>
                <c:pt idx="2">
                  <c:v>Monitor</c:v>
                </c:pt>
                <c:pt idx="3">
                  <c:v>Mouse</c:v>
                </c:pt>
                <c:pt idx="4">
                  <c:v>Speaker</c:v>
                </c:pt>
                <c:pt idx="5">
                  <c:v>Keyboard</c:v>
                </c:pt>
              </c:strCache>
            </c:strRef>
          </c:cat>
          <c:val>
            <c:numRef>
              <c:f>PIVOT!$F$13:$F$19</c:f>
              <c:numCache>
                <c:formatCode>0.00%</c:formatCode>
                <c:ptCount val="6"/>
                <c:pt idx="0">
                  <c:v>0.52424308722799107</c:v>
                </c:pt>
                <c:pt idx="1">
                  <c:v>0.1975798986856056</c:v>
                </c:pt>
                <c:pt idx="2">
                  <c:v>0.19017485989330013</c:v>
                </c:pt>
                <c:pt idx="3">
                  <c:v>3.7109342129621838E-2</c:v>
                </c:pt>
                <c:pt idx="4">
                  <c:v>3.6688601289149934E-2</c:v>
                </c:pt>
                <c:pt idx="5">
                  <c:v>1.4204210774331443E-2</c:v>
                </c:pt>
              </c:numCache>
            </c:numRef>
          </c:val>
          <c:extLst>
            <c:ext xmlns:c16="http://schemas.microsoft.com/office/drawing/2014/chart" uri="{C3380CC4-5D6E-409C-BE32-E72D297353CC}">
              <c16:uniqueId val="{00000006-18D6-4E28-B3AD-C6631A49B691}"/>
            </c:ext>
          </c:extLst>
        </c:ser>
        <c:dLbls>
          <c:dLblPos val="ctr"/>
          <c:showLegendKey val="0"/>
          <c:showVal val="1"/>
          <c:showCatName val="0"/>
          <c:showSerName val="0"/>
          <c:showPercent val="0"/>
          <c:showBubbleSize val="0"/>
        </c:dLbls>
        <c:gapWidth val="150"/>
        <c:overlap val="100"/>
        <c:axId val="1064841264"/>
        <c:axId val="1064821712"/>
      </c:barChart>
      <c:catAx>
        <c:axId val="106484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821712"/>
        <c:crosses val="autoZero"/>
        <c:auto val="1"/>
        <c:lblAlgn val="ctr"/>
        <c:lblOffset val="100"/>
        <c:noMultiLvlLbl val="0"/>
      </c:catAx>
      <c:valAx>
        <c:axId val="1064821712"/>
        <c:scaling>
          <c:orientation val="minMax"/>
        </c:scaling>
        <c:delete val="1"/>
        <c:axPos val="b"/>
        <c:numFmt formatCode="0.00%" sourceLinked="1"/>
        <c:majorTickMark val="none"/>
        <c:minorTickMark val="none"/>
        <c:tickLblPos val="nextTo"/>
        <c:crossAx val="1064841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[Sales-dashboard.xlsx]PIVOT!PivotTable11</c:name>
    <c:fmtId val="101"/>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Sale</a:t>
            </a:r>
            <a:r>
              <a:rPr lang="en-US" baseline="0">
                <a:solidFill>
                  <a:schemeClr val="accent1">
                    <a:lumMod val="50000"/>
                  </a:schemeClr>
                </a:solidFill>
              </a:rPr>
              <a:t> by months:</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PIVOT!$I$7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PIVOT!$H$8:$H$20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PIVOT!$I$8:$I$20</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10F5-4419-B90D-097DB9B28744}"/>
            </c:ext>
          </c:extLst>
        </c:ser>
        <c:dLbls>
          <c:dLblPos val="t"/>
          <c:showLegendKey val="0"/>
          <c:showVal val="1"/>
          <c:showCatName val="0"/>
          <c:showSerName val="0"/>
          <c:showPercent val="0"/>
          <c:showBubbleSize val="0"/>
        </c:dLbls>
        <c:marker val="1"/>
        <c:smooth val="0"/>
        <c:axId val="548815280"/>
        <c:axId val="548812784"/>
      </c:lineChart>
      <c:catAx>
        <c:axId val="54881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812784"/>
        <c:crosses val="autoZero"/>
        <c:auto val="1"/>
        <c:lblAlgn val="ctr"/>
        <c:lblOffset val="100"/>
        <c:noMultiLvlLbl val="0"/>
      </c:catAx>
      <c:valAx>
        <c:axId val="548812784"/>
        <c:scaling>
          <c:orientation val="minMax"/>
        </c:scaling>
        <c:delete val="1"/>
        <c:axPos val="l"/>
        <c:numFmt formatCode="General" sourceLinked="1"/>
        <c:majorTickMark val="none"/>
        <c:minorTickMark val="none"/>
        <c:tickLblPos val="nextTo"/>
        <c:crossAx val="54881528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BOARD!A1"/><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PRODUCTS!A1"/><Relationship Id="rId4" Type="http://schemas.openxmlformats.org/officeDocument/2006/relationships/hyperlink" Target="#SALESMANS!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PRODUCTS!A1"/><Relationship Id="rId4" Type="http://schemas.openxmlformats.org/officeDocument/2006/relationships/hyperlink" Target="#SALESMAN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PRODUCTS!A1"/><Relationship Id="rId4" Type="http://schemas.openxmlformats.org/officeDocument/2006/relationships/hyperlink" Target="#SALESMAN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7.xml"/><Relationship Id="rId7" Type="http://schemas.openxmlformats.org/officeDocument/2006/relationships/hyperlink" Target="#ABOUT!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S!A1"/><Relationship Id="rId5" Type="http://schemas.openxmlformats.org/officeDocument/2006/relationships/hyperlink" Target="#SALESMANS!A1"/><Relationship Id="rId4" Type="http://schemas.openxmlformats.org/officeDocument/2006/relationships/hyperlink" Target="#DASHBOARD!A1"/><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314325</xdr:colOff>
      <xdr:row>0</xdr:row>
      <xdr:rowOff>95251</xdr:rowOff>
    </xdr:from>
    <xdr:to>
      <xdr:col>16</xdr:col>
      <xdr:colOff>387350</xdr:colOff>
      <xdr:row>30</xdr:row>
      <xdr:rowOff>161925</xdr:rowOff>
    </xdr:to>
    <xdr:sp macro="" textlink="">
      <xdr:nvSpPr>
        <xdr:cNvPr id="2" name="Rectangle: Rounded Corners 1">
          <a:extLst>
            <a:ext uri="{FF2B5EF4-FFF2-40B4-BE49-F238E27FC236}">
              <a16:creationId xmlns:a16="http://schemas.microsoft.com/office/drawing/2014/main" id="{FF496D58-262F-4F61-978B-E472A3C01640}"/>
            </a:ext>
          </a:extLst>
        </xdr:cNvPr>
        <xdr:cNvSpPr/>
      </xdr:nvSpPr>
      <xdr:spPr>
        <a:xfrm>
          <a:off x="923925" y="95251"/>
          <a:ext cx="9217025" cy="5591174"/>
        </a:xfrm>
        <a:prstGeom prst="roundRect">
          <a:avLst>
            <a:gd name="adj" fmla="val 2133"/>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4</xdr:col>
      <xdr:colOff>276225</xdr:colOff>
      <xdr:row>0</xdr:row>
      <xdr:rowOff>161924</xdr:rowOff>
    </xdr:from>
    <xdr:to>
      <xdr:col>16</xdr:col>
      <xdr:colOff>304800</xdr:colOff>
      <xdr:row>30</xdr:row>
      <xdr:rowOff>95250</xdr:rowOff>
    </xdr:to>
    <xdr:sp macro="" textlink="">
      <xdr:nvSpPr>
        <xdr:cNvPr id="3" name="Rectangle: Rounded Corners 2">
          <a:extLst>
            <a:ext uri="{FF2B5EF4-FFF2-40B4-BE49-F238E27FC236}">
              <a16:creationId xmlns:a16="http://schemas.microsoft.com/office/drawing/2014/main" id="{BC8B74FB-6B3D-4A34-B3A9-F21F09E13A10}"/>
            </a:ext>
          </a:extLst>
        </xdr:cNvPr>
        <xdr:cNvSpPr/>
      </xdr:nvSpPr>
      <xdr:spPr>
        <a:xfrm>
          <a:off x="2714625" y="161924"/>
          <a:ext cx="7343775" cy="5648326"/>
        </a:xfrm>
        <a:prstGeom prst="roundRect">
          <a:avLst>
            <a:gd name="adj" fmla="val 2928"/>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a:t>
          </a:r>
        </a:p>
      </xdr:txBody>
    </xdr:sp>
    <xdr:clientData/>
  </xdr:twoCellAnchor>
  <xdr:twoCellAnchor editAs="oneCell">
    <xdr:from>
      <xdr:col>4</xdr:col>
      <xdr:colOff>368300</xdr:colOff>
      <xdr:row>1</xdr:row>
      <xdr:rowOff>50800</xdr:rowOff>
    </xdr:from>
    <xdr:to>
      <xdr:col>12</xdr:col>
      <xdr:colOff>450850</xdr:colOff>
      <xdr:row>8</xdr:row>
      <xdr:rowOff>95250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A14C2AFF-9E01-4C04-9585-EDEB1C04FF56}"/>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806700" y="241300"/>
              <a:ext cx="4959350" cy="1377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508000</xdr:colOff>
      <xdr:row>1</xdr:row>
      <xdr:rowOff>50800</xdr:rowOff>
    </xdr:from>
    <xdr:to>
      <xdr:col>16</xdr:col>
      <xdr:colOff>222250</xdr:colOff>
      <xdr:row>8</xdr:row>
      <xdr:rowOff>88900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CEF84D5F-52CC-4C0C-BE62-9C1EDD33C69C}"/>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823200" y="241300"/>
              <a:ext cx="21082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374650</xdr:colOff>
      <xdr:row>8</xdr:row>
      <xdr:rowOff>158750</xdr:rowOff>
    </xdr:from>
    <xdr:to>
      <xdr:col>16</xdr:col>
      <xdr:colOff>228600</xdr:colOff>
      <xdr:row>12</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A5BA4E17-2E31-4ACD-A750-3FAF6EDB1450}"/>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813050" y="1682750"/>
              <a:ext cx="7137400" cy="64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374650</xdr:colOff>
      <xdr:row>12</xdr:row>
      <xdr:rowOff>88900</xdr:rowOff>
    </xdr:from>
    <xdr:to>
      <xdr:col>16</xdr:col>
      <xdr:colOff>209550</xdr:colOff>
      <xdr:row>14</xdr:row>
      <xdr:rowOff>120650</xdr:rowOff>
    </xdr:to>
    <xdr:sp macro="" textlink="">
      <xdr:nvSpPr>
        <xdr:cNvPr id="7" name="Rectangle 6">
          <a:extLst>
            <a:ext uri="{FF2B5EF4-FFF2-40B4-BE49-F238E27FC236}">
              <a16:creationId xmlns:a16="http://schemas.microsoft.com/office/drawing/2014/main" id="{06F95A5B-B562-498C-ABA6-B951B1D138BF}"/>
            </a:ext>
          </a:extLst>
        </xdr:cNvPr>
        <xdr:cNvSpPr/>
      </xdr:nvSpPr>
      <xdr:spPr>
        <a:xfrm>
          <a:off x="2813050" y="2374900"/>
          <a:ext cx="7150100" cy="41275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      </a:t>
          </a:r>
          <a:r>
            <a:rPr lang="en-GB" sz="1100" b="1">
              <a:solidFill>
                <a:schemeClr val="tx1"/>
              </a:solidFill>
            </a:rPr>
            <a:t>Analytics</a:t>
          </a:r>
          <a:r>
            <a:rPr lang="en-GB" sz="1100" b="1"/>
            <a:t> </a:t>
          </a:r>
        </a:p>
      </xdr:txBody>
    </xdr:sp>
    <xdr:clientData/>
  </xdr:twoCellAnchor>
  <xdr:twoCellAnchor editAs="oneCell">
    <xdr:from>
      <xdr:col>9</xdr:col>
      <xdr:colOff>444500</xdr:colOff>
      <xdr:row>12</xdr:row>
      <xdr:rowOff>127000</xdr:rowOff>
    </xdr:from>
    <xdr:to>
      <xdr:col>10</xdr:col>
      <xdr:colOff>127000</xdr:colOff>
      <xdr:row>14</xdr:row>
      <xdr:rowOff>63500</xdr:rowOff>
    </xdr:to>
    <xdr:pic>
      <xdr:nvPicPr>
        <xdr:cNvPr id="8" name="Graphic 7" descr="Bar chart with solid fill">
          <a:extLst>
            <a:ext uri="{FF2B5EF4-FFF2-40B4-BE49-F238E27FC236}">
              <a16:creationId xmlns:a16="http://schemas.microsoft.com/office/drawing/2014/main" id="{D3DA83CD-D58E-4E6E-8701-912FA826FE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30900" y="2413000"/>
          <a:ext cx="292100" cy="317500"/>
        </a:xfrm>
        <a:prstGeom prst="rect">
          <a:avLst/>
        </a:prstGeom>
      </xdr:spPr>
    </xdr:pic>
    <xdr:clientData/>
  </xdr:twoCellAnchor>
  <xdr:twoCellAnchor>
    <xdr:from>
      <xdr:col>1</xdr:col>
      <xdr:colOff>590549</xdr:colOff>
      <xdr:row>3</xdr:row>
      <xdr:rowOff>104775</xdr:rowOff>
    </xdr:from>
    <xdr:to>
      <xdr:col>4</xdr:col>
      <xdr:colOff>200024</xdr:colOff>
      <xdr:row>5</xdr:row>
      <xdr:rowOff>104774</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7735DF39-DFFA-418F-999C-B29E0FAF02B6}"/>
            </a:ext>
          </a:extLst>
        </xdr:cNvPr>
        <xdr:cNvSpPr/>
      </xdr:nvSpPr>
      <xdr:spPr>
        <a:xfrm>
          <a:off x="1200149" y="676275"/>
          <a:ext cx="1438275" cy="380999"/>
        </a:xfrm>
        <a:prstGeom prst="roundRect">
          <a:avLst>
            <a:gd name="adj" fmla="val 50000"/>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DASHBOARD</a:t>
          </a:r>
        </a:p>
      </xdr:txBody>
    </xdr:sp>
    <xdr:clientData/>
  </xdr:twoCellAnchor>
  <xdr:twoCellAnchor>
    <xdr:from>
      <xdr:col>1</xdr:col>
      <xdr:colOff>581025</xdr:colOff>
      <xdr:row>6</xdr:row>
      <xdr:rowOff>38100</xdr:rowOff>
    </xdr:from>
    <xdr:to>
      <xdr:col>4</xdr:col>
      <xdr:colOff>219074</xdr:colOff>
      <xdr:row>7</xdr:row>
      <xdr:rowOff>133350</xdr:rowOff>
    </xdr:to>
    <xdr:sp macro="" textlink="">
      <xdr:nvSpPr>
        <xdr:cNvPr id="10" name="Rectangle: Rounded Corners 9">
          <a:extLst>
            <a:ext uri="{FF2B5EF4-FFF2-40B4-BE49-F238E27FC236}">
              <a16:creationId xmlns:a16="http://schemas.microsoft.com/office/drawing/2014/main" id="{B50DE046-E461-43C1-9642-EFE781282EB0}"/>
            </a:ext>
          </a:extLst>
        </xdr:cNvPr>
        <xdr:cNvSpPr/>
      </xdr:nvSpPr>
      <xdr:spPr>
        <a:xfrm>
          <a:off x="1190625" y="1181100"/>
          <a:ext cx="1466849" cy="285750"/>
        </a:xfrm>
        <a:prstGeom prst="roundRect">
          <a:avLst>
            <a:gd name="adj" fmla="val 47223"/>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581025</xdr:colOff>
      <xdr:row>8</xdr:row>
      <xdr:rowOff>133350</xdr:rowOff>
    </xdr:from>
    <xdr:to>
      <xdr:col>4</xdr:col>
      <xdr:colOff>180975</xdr:colOff>
      <xdr:row>10</xdr:row>
      <xdr:rowOff>114300</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9163AF07-D813-4CAC-846E-238A7215A499}"/>
            </a:ext>
          </a:extLst>
        </xdr:cNvPr>
        <xdr:cNvSpPr/>
      </xdr:nvSpPr>
      <xdr:spPr>
        <a:xfrm>
          <a:off x="1190625" y="1657350"/>
          <a:ext cx="1428750" cy="361950"/>
        </a:xfrm>
        <a:prstGeom prst="roundRect">
          <a:avLst>
            <a:gd name="adj" fmla="val 47223"/>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SALESMAN</a:t>
          </a:r>
        </a:p>
      </xdr:txBody>
    </xdr:sp>
    <xdr:clientData/>
  </xdr:twoCellAnchor>
  <xdr:twoCellAnchor>
    <xdr:from>
      <xdr:col>2</xdr:col>
      <xdr:colOff>19050</xdr:colOff>
      <xdr:row>6</xdr:row>
      <xdr:rowOff>47625</xdr:rowOff>
    </xdr:from>
    <xdr:to>
      <xdr:col>4</xdr:col>
      <xdr:colOff>200025</xdr:colOff>
      <xdr:row>8</xdr:row>
      <xdr:rowOff>38100</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E295B277-D98B-4B54-AAA1-4D4872ED23A3}"/>
            </a:ext>
          </a:extLst>
        </xdr:cNvPr>
        <xdr:cNvSpPr/>
      </xdr:nvSpPr>
      <xdr:spPr>
        <a:xfrm>
          <a:off x="1238250" y="1190625"/>
          <a:ext cx="1400175" cy="371475"/>
        </a:xfrm>
        <a:prstGeom prst="roundRect">
          <a:avLst>
            <a:gd name="adj" fmla="val 50000"/>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PRODUCTS</a:t>
          </a:r>
        </a:p>
      </xdr:txBody>
    </xdr:sp>
    <xdr:clientData/>
  </xdr:twoCellAnchor>
  <xdr:twoCellAnchor>
    <xdr:from>
      <xdr:col>1</xdr:col>
      <xdr:colOff>571500</xdr:colOff>
      <xdr:row>11</xdr:row>
      <xdr:rowOff>57150</xdr:rowOff>
    </xdr:from>
    <xdr:to>
      <xdr:col>4</xdr:col>
      <xdr:colOff>171450</xdr:colOff>
      <xdr:row>13</xdr:row>
      <xdr:rowOff>38100</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83D2472E-CBEE-4B20-B468-2D22B76F9990}"/>
            </a:ext>
          </a:extLst>
        </xdr:cNvPr>
        <xdr:cNvSpPr/>
      </xdr:nvSpPr>
      <xdr:spPr>
        <a:xfrm>
          <a:off x="1181100" y="2152650"/>
          <a:ext cx="1428750" cy="361950"/>
        </a:xfrm>
        <a:prstGeom prst="roundRect">
          <a:avLst>
            <a:gd name="adj" fmla="val 4722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            ABOUT</a:t>
          </a:r>
        </a:p>
      </xdr:txBody>
    </xdr:sp>
    <xdr:clientData/>
  </xdr:twoCellAnchor>
  <xdr:twoCellAnchor editAs="oneCell">
    <xdr:from>
      <xdr:col>4</xdr:col>
      <xdr:colOff>390525</xdr:colOff>
      <xdr:row>15</xdr:row>
      <xdr:rowOff>57150</xdr:rowOff>
    </xdr:from>
    <xdr:to>
      <xdr:col>5</xdr:col>
      <xdr:colOff>95249</xdr:colOff>
      <xdr:row>16</xdr:row>
      <xdr:rowOff>133350</xdr:rowOff>
    </xdr:to>
    <xdr:pic>
      <xdr:nvPicPr>
        <xdr:cNvPr id="20" name="Graphic 19" descr="User with solid fill">
          <a:extLst>
            <a:ext uri="{FF2B5EF4-FFF2-40B4-BE49-F238E27FC236}">
              <a16:creationId xmlns:a16="http://schemas.microsoft.com/office/drawing/2014/main" id="{66BDB25A-CB0F-ED54-74BE-D4CB1DFABEC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828925" y="2914650"/>
          <a:ext cx="314324" cy="266700"/>
        </a:xfrm>
        <a:prstGeom prst="rect">
          <a:avLst/>
        </a:prstGeom>
      </xdr:spPr>
    </xdr:pic>
    <xdr:clientData/>
  </xdr:twoCellAnchor>
  <xdr:twoCellAnchor>
    <xdr:from>
      <xdr:col>5</xdr:col>
      <xdr:colOff>19050</xdr:colOff>
      <xdr:row>15</xdr:row>
      <xdr:rowOff>76200</xdr:rowOff>
    </xdr:from>
    <xdr:to>
      <xdr:col>6</xdr:col>
      <xdr:colOff>438150</xdr:colOff>
      <xdr:row>16</xdr:row>
      <xdr:rowOff>104776</xdr:rowOff>
    </xdr:to>
    <xdr:sp macro="" textlink="">
      <xdr:nvSpPr>
        <xdr:cNvPr id="22" name="TextBox 21">
          <a:extLst>
            <a:ext uri="{FF2B5EF4-FFF2-40B4-BE49-F238E27FC236}">
              <a16:creationId xmlns:a16="http://schemas.microsoft.com/office/drawing/2014/main" id="{5A9079CC-1FE2-B4EC-E70D-C34185FB6BB1}"/>
            </a:ext>
          </a:extLst>
        </xdr:cNvPr>
        <xdr:cNvSpPr txBox="1"/>
      </xdr:nvSpPr>
      <xdr:spPr>
        <a:xfrm>
          <a:off x="3067050" y="2933700"/>
          <a:ext cx="1028700"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w="0"/>
              <a:solidFill>
                <a:schemeClr val="tx1"/>
              </a:solidFill>
              <a:effectLst>
                <a:outerShdw blurRad="38100" dist="19050" dir="2700000" algn="tl" rotWithShape="0">
                  <a:schemeClr val="dk1">
                    <a:alpha val="40000"/>
                  </a:schemeClr>
                </a:outerShdw>
              </a:effectLst>
            </a:rPr>
            <a:t>About</a:t>
          </a:r>
          <a:r>
            <a:rPr lang="en-US" sz="1100" b="1"/>
            <a:t>:</a:t>
          </a:r>
        </a:p>
      </xdr:txBody>
    </xdr:sp>
    <xdr:clientData/>
  </xdr:twoCellAnchor>
  <xdr:twoCellAnchor>
    <xdr:from>
      <xdr:col>4</xdr:col>
      <xdr:colOff>419100</xdr:colOff>
      <xdr:row>17</xdr:row>
      <xdr:rowOff>9524</xdr:rowOff>
    </xdr:from>
    <xdr:to>
      <xdr:col>16</xdr:col>
      <xdr:colOff>247650</xdr:colOff>
      <xdr:row>30</xdr:row>
      <xdr:rowOff>38099</xdr:rowOff>
    </xdr:to>
    <xdr:sp macro="" textlink="">
      <xdr:nvSpPr>
        <xdr:cNvPr id="23" name="Rectangle: Rounded Corners 22">
          <a:extLst>
            <a:ext uri="{FF2B5EF4-FFF2-40B4-BE49-F238E27FC236}">
              <a16:creationId xmlns:a16="http://schemas.microsoft.com/office/drawing/2014/main" id="{F4D8EDA0-1C47-CFFE-903E-B9C5E4D76750}"/>
            </a:ext>
          </a:extLst>
        </xdr:cNvPr>
        <xdr:cNvSpPr/>
      </xdr:nvSpPr>
      <xdr:spPr>
        <a:xfrm>
          <a:off x="2857500" y="3248024"/>
          <a:ext cx="7143750" cy="2505075"/>
        </a:xfrm>
        <a:prstGeom prst="roundRect">
          <a:avLst>
            <a:gd name="adj" fmla="val 598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r>
            <a:rPr lang="en-US" sz="1100" b="1">
              <a:solidFill>
                <a:schemeClr val="tx1"/>
              </a:solidFill>
            </a:rPr>
            <a:t>Project</a:t>
          </a:r>
          <a:r>
            <a:rPr lang="en-US" sz="1100" b="1" baseline="0">
              <a:solidFill>
                <a:schemeClr val="tx1"/>
              </a:solidFill>
            </a:rPr>
            <a:t> developer :</a:t>
          </a:r>
        </a:p>
        <a:p>
          <a:pPr algn="l"/>
          <a:endParaRPr lang="en-US" sz="1100" b="1" baseline="0">
            <a:solidFill>
              <a:schemeClr val="tx1"/>
            </a:solidFill>
          </a:endParaRPr>
        </a:p>
        <a:p>
          <a:pPr algn="l"/>
          <a:endParaRPr lang="en-US" sz="1100" baseline="0">
            <a:solidFill>
              <a:schemeClr val="tx1"/>
            </a:solidFill>
          </a:endParaRPr>
        </a:p>
        <a:p>
          <a:pPr algn="l"/>
          <a:endParaRPr lang="en-US" sz="1100" baseline="0">
            <a:solidFill>
              <a:schemeClr val="tx1"/>
            </a:solidFill>
          </a:endParaRPr>
        </a:p>
        <a:p>
          <a:pPr algn="l"/>
          <a:endParaRPr lang="en-US" sz="1100" baseline="0">
            <a:solidFill>
              <a:schemeClr val="tx1"/>
            </a:solidFill>
          </a:endParaRPr>
        </a:p>
        <a:p>
          <a:pPr algn="l"/>
          <a:endParaRPr lang="en-US" sz="1100" baseline="0">
            <a:solidFill>
              <a:schemeClr val="tx1"/>
            </a:solidFill>
          </a:endParaRPr>
        </a:p>
        <a:p>
          <a:pPr algn="l"/>
          <a:r>
            <a:rPr lang="en-US" sz="1100" b="1" baseline="0">
              <a:solidFill>
                <a:schemeClr val="tx1"/>
              </a:solidFill>
            </a:rPr>
            <a:t>Version :</a:t>
          </a:r>
          <a:endParaRPr lang="en-US" sz="1100" b="1">
            <a:solidFill>
              <a:schemeClr val="tx1"/>
            </a:solidFill>
          </a:endParaRPr>
        </a:p>
        <a:p>
          <a:pPr algn="l"/>
          <a:endParaRPr lang="en-US" sz="1100"/>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257175</xdr:colOff>
      <xdr:row>0</xdr:row>
      <xdr:rowOff>73026</xdr:rowOff>
    </xdr:from>
    <xdr:to>
      <xdr:col>16</xdr:col>
      <xdr:colOff>371475</xdr:colOff>
      <xdr:row>33</xdr:row>
      <xdr:rowOff>127000</xdr:rowOff>
    </xdr:to>
    <xdr:sp macro="" textlink="">
      <xdr:nvSpPr>
        <xdr:cNvPr id="2" name="Rectangle: Rounded Corners 1">
          <a:extLst>
            <a:ext uri="{FF2B5EF4-FFF2-40B4-BE49-F238E27FC236}">
              <a16:creationId xmlns:a16="http://schemas.microsoft.com/office/drawing/2014/main" id="{7A98323E-7B84-40DC-841F-E2EC42EFC83B}"/>
            </a:ext>
          </a:extLst>
        </xdr:cNvPr>
        <xdr:cNvSpPr/>
      </xdr:nvSpPr>
      <xdr:spPr>
        <a:xfrm>
          <a:off x="866775" y="73026"/>
          <a:ext cx="9258300" cy="6130924"/>
        </a:xfrm>
        <a:prstGeom prst="roundRect">
          <a:avLst>
            <a:gd name="adj" fmla="val 2928"/>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4</xdr:col>
      <xdr:colOff>288925</xdr:colOff>
      <xdr:row>0</xdr:row>
      <xdr:rowOff>123824</xdr:rowOff>
    </xdr:from>
    <xdr:to>
      <xdr:col>16</xdr:col>
      <xdr:colOff>314325</xdr:colOff>
      <xdr:row>33</xdr:row>
      <xdr:rowOff>44450</xdr:rowOff>
    </xdr:to>
    <xdr:sp macro="" textlink="">
      <xdr:nvSpPr>
        <xdr:cNvPr id="3" name="Rectangle: Rounded Corners 2">
          <a:extLst>
            <a:ext uri="{FF2B5EF4-FFF2-40B4-BE49-F238E27FC236}">
              <a16:creationId xmlns:a16="http://schemas.microsoft.com/office/drawing/2014/main" id="{DBDF3D51-1EC4-48EE-8D0C-441ED015826F}"/>
            </a:ext>
          </a:extLst>
        </xdr:cNvPr>
        <xdr:cNvSpPr/>
      </xdr:nvSpPr>
      <xdr:spPr>
        <a:xfrm>
          <a:off x="2727325" y="123824"/>
          <a:ext cx="7340600" cy="5997576"/>
        </a:xfrm>
        <a:prstGeom prst="roundRect">
          <a:avLst>
            <a:gd name="adj" fmla="val 2928"/>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editAs="oneCell">
    <xdr:from>
      <xdr:col>4</xdr:col>
      <xdr:colOff>368300</xdr:colOff>
      <xdr:row>1</xdr:row>
      <xdr:rowOff>50800</xdr:rowOff>
    </xdr:from>
    <xdr:to>
      <xdr:col>12</xdr:col>
      <xdr:colOff>450850</xdr:colOff>
      <xdr:row>8</xdr:row>
      <xdr:rowOff>95250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22B959B2-F7DA-4F2C-AE7F-F817A6A9BFDD}"/>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806700" y="241300"/>
              <a:ext cx="4959350" cy="1377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508000</xdr:colOff>
      <xdr:row>1</xdr:row>
      <xdr:rowOff>50800</xdr:rowOff>
    </xdr:from>
    <xdr:to>
      <xdr:col>16</xdr:col>
      <xdr:colOff>241300</xdr:colOff>
      <xdr:row>8</xdr:row>
      <xdr:rowOff>88900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E499D722-539E-44D7-B69D-069F758B9CA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823200" y="241300"/>
              <a:ext cx="21082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374650</xdr:colOff>
      <xdr:row>8</xdr:row>
      <xdr:rowOff>158750</xdr:rowOff>
    </xdr:from>
    <xdr:to>
      <xdr:col>16</xdr:col>
      <xdr:colOff>247650</xdr:colOff>
      <xdr:row>12</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1E545672-C51F-4FA6-B36B-6235FDDAE550}"/>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813050" y="1682750"/>
              <a:ext cx="7137400" cy="64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374650</xdr:colOff>
      <xdr:row>12</xdr:row>
      <xdr:rowOff>88900</xdr:rowOff>
    </xdr:from>
    <xdr:to>
      <xdr:col>16</xdr:col>
      <xdr:colOff>241300</xdr:colOff>
      <xdr:row>14</xdr:row>
      <xdr:rowOff>120650</xdr:rowOff>
    </xdr:to>
    <xdr:sp macro="" textlink="">
      <xdr:nvSpPr>
        <xdr:cNvPr id="7" name="Rectangle 6">
          <a:extLst>
            <a:ext uri="{FF2B5EF4-FFF2-40B4-BE49-F238E27FC236}">
              <a16:creationId xmlns:a16="http://schemas.microsoft.com/office/drawing/2014/main" id="{3654E3B7-8925-4D24-AC56-8F6E597B7A36}"/>
            </a:ext>
          </a:extLst>
        </xdr:cNvPr>
        <xdr:cNvSpPr/>
      </xdr:nvSpPr>
      <xdr:spPr>
        <a:xfrm>
          <a:off x="2813050" y="2298700"/>
          <a:ext cx="7181850" cy="40005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      </a:t>
          </a:r>
          <a:r>
            <a:rPr lang="en-GB" sz="1100" b="1">
              <a:solidFill>
                <a:schemeClr val="tx1"/>
              </a:solidFill>
            </a:rPr>
            <a:t>Analytics</a:t>
          </a:r>
          <a:r>
            <a:rPr lang="en-GB" sz="1100" b="1"/>
            <a:t> </a:t>
          </a:r>
        </a:p>
      </xdr:txBody>
    </xdr:sp>
    <xdr:clientData/>
  </xdr:twoCellAnchor>
  <xdr:twoCellAnchor editAs="oneCell">
    <xdr:from>
      <xdr:col>9</xdr:col>
      <xdr:colOff>444500</xdr:colOff>
      <xdr:row>12</xdr:row>
      <xdr:rowOff>127000</xdr:rowOff>
    </xdr:from>
    <xdr:to>
      <xdr:col>10</xdr:col>
      <xdr:colOff>127000</xdr:colOff>
      <xdr:row>14</xdr:row>
      <xdr:rowOff>63500</xdr:rowOff>
    </xdr:to>
    <xdr:pic>
      <xdr:nvPicPr>
        <xdr:cNvPr id="8" name="Graphic 7" descr="Bar chart with solid fill">
          <a:extLst>
            <a:ext uri="{FF2B5EF4-FFF2-40B4-BE49-F238E27FC236}">
              <a16:creationId xmlns:a16="http://schemas.microsoft.com/office/drawing/2014/main" id="{CB9CDA16-8964-48CE-A6F0-8682789121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30900" y="2413000"/>
          <a:ext cx="292100" cy="317500"/>
        </a:xfrm>
        <a:prstGeom prst="rect">
          <a:avLst/>
        </a:prstGeom>
      </xdr:spPr>
    </xdr:pic>
    <xdr:clientData/>
  </xdr:twoCellAnchor>
  <xdr:twoCellAnchor>
    <xdr:from>
      <xdr:col>1</xdr:col>
      <xdr:colOff>590549</xdr:colOff>
      <xdr:row>3</xdr:row>
      <xdr:rowOff>104775</xdr:rowOff>
    </xdr:from>
    <xdr:to>
      <xdr:col>4</xdr:col>
      <xdr:colOff>200024</xdr:colOff>
      <xdr:row>5</xdr:row>
      <xdr:rowOff>104774</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ACCE5910-9784-4CD8-BEF5-FD5A1FBFEE9C}"/>
            </a:ext>
          </a:extLst>
        </xdr:cNvPr>
        <xdr:cNvSpPr/>
      </xdr:nvSpPr>
      <xdr:spPr>
        <a:xfrm>
          <a:off x="1200149" y="676275"/>
          <a:ext cx="1438275" cy="380999"/>
        </a:xfrm>
        <a:prstGeom prst="roundRect">
          <a:avLst>
            <a:gd name="adj" fmla="val 50000"/>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DASHBOARD</a:t>
          </a:r>
        </a:p>
      </xdr:txBody>
    </xdr:sp>
    <xdr:clientData/>
  </xdr:twoCellAnchor>
  <xdr:twoCellAnchor>
    <xdr:from>
      <xdr:col>1</xdr:col>
      <xdr:colOff>581025</xdr:colOff>
      <xdr:row>6</xdr:row>
      <xdr:rowOff>38100</xdr:rowOff>
    </xdr:from>
    <xdr:to>
      <xdr:col>4</xdr:col>
      <xdr:colOff>219074</xdr:colOff>
      <xdr:row>7</xdr:row>
      <xdr:rowOff>133350</xdr:rowOff>
    </xdr:to>
    <xdr:sp macro="" textlink="">
      <xdr:nvSpPr>
        <xdr:cNvPr id="17" name="Rectangle: Rounded Corners 16">
          <a:extLst>
            <a:ext uri="{FF2B5EF4-FFF2-40B4-BE49-F238E27FC236}">
              <a16:creationId xmlns:a16="http://schemas.microsoft.com/office/drawing/2014/main" id="{E040D66F-15C2-487D-A6E5-310139F59615}"/>
            </a:ext>
          </a:extLst>
        </xdr:cNvPr>
        <xdr:cNvSpPr/>
      </xdr:nvSpPr>
      <xdr:spPr>
        <a:xfrm>
          <a:off x="1190625" y="1181100"/>
          <a:ext cx="1466849" cy="285750"/>
        </a:xfrm>
        <a:prstGeom prst="roundRect">
          <a:avLst>
            <a:gd name="adj" fmla="val 47223"/>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581025</xdr:colOff>
      <xdr:row>8</xdr:row>
      <xdr:rowOff>133350</xdr:rowOff>
    </xdr:from>
    <xdr:to>
      <xdr:col>4</xdr:col>
      <xdr:colOff>180975</xdr:colOff>
      <xdr:row>10</xdr:row>
      <xdr:rowOff>114300</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8E6BACEA-BD97-4B98-8801-C6A73A9B1DA8}"/>
            </a:ext>
          </a:extLst>
        </xdr:cNvPr>
        <xdr:cNvSpPr/>
      </xdr:nvSpPr>
      <xdr:spPr>
        <a:xfrm>
          <a:off x="1190625" y="1657350"/>
          <a:ext cx="1428750" cy="361950"/>
        </a:xfrm>
        <a:prstGeom prst="roundRect">
          <a:avLst>
            <a:gd name="adj" fmla="val 4722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       SALESMAN</a:t>
          </a:r>
        </a:p>
      </xdr:txBody>
    </xdr:sp>
    <xdr:clientData/>
  </xdr:twoCellAnchor>
  <xdr:twoCellAnchor>
    <xdr:from>
      <xdr:col>2</xdr:col>
      <xdr:colOff>19050</xdr:colOff>
      <xdr:row>6</xdr:row>
      <xdr:rowOff>47625</xdr:rowOff>
    </xdr:from>
    <xdr:to>
      <xdr:col>4</xdr:col>
      <xdr:colOff>200025</xdr:colOff>
      <xdr:row>8</xdr:row>
      <xdr:rowOff>38100</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68B385C9-BF3A-4B40-9E1D-72E5138B4401}"/>
            </a:ext>
          </a:extLst>
        </xdr:cNvPr>
        <xdr:cNvSpPr/>
      </xdr:nvSpPr>
      <xdr:spPr>
        <a:xfrm>
          <a:off x="1238250" y="1190625"/>
          <a:ext cx="1400175" cy="371475"/>
        </a:xfrm>
        <a:prstGeom prst="roundRect">
          <a:avLst>
            <a:gd name="adj" fmla="val 50000"/>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PRODUCTS</a:t>
          </a:r>
        </a:p>
      </xdr:txBody>
    </xdr:sp>
    <xdr:clientData/>
  </xdr:twoCellAnchor>
  <xdr:twoCellAnchor>
    <xdr:from>
      <xdr:col>1</xdr:col>
      <xdr:colOff>571500</xdr:colOff>
      <xdr:row>11</xdr:row>
      <xdr:rowOff>57150</xdr:rowOff>
    </xdr:from>
    <xdr:to>
      <xdr:col>4</xdr:col>
      <xdr:colOff>171450</xdr:colOff>
      <xdr:row>13</xdr:row>
      <xdr:rowOff>38100</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280A31BD-2E4A-49A8-B687-CC7B1957DE07}"/>
            </a:ext>
          </a:extLst>
        </xdr:cNvPr>
        <xdr:cNvSpPr/>
      </xdr:nvSpPr>
      <xdr:spPr>
        <a:xfrm>
          <a:off x="1181100" y="2152650"/>
          <a:ext cx="1428750" cy="361950"/>
        </a:xfrm>
        <a:prstGeom prst="roundRect">
          <a:avLst>
            <a:gd name="adj" fmla="val 47223"/>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ABOUT</a:t>
          </a:r>
        </a:p>
      </xdr:txBody>
    </xdr:sp>
    <xdr:clientData/>
  </xdr:twoCellAnchor>
  <xdr:twoCellAnchor>
    <xdr:from>
      <xdr:col>11</xdr:col>
      <xdr:colOff>190500</xdr:colOff>
      <xdr:row>15</xdr:row>
      <xdr:rowOff>19050</xdr:rowOff>
    </xdr:from>
    <xdr:to>
      <xdr:col>16</xdr:col>
      <xdr:colOff>222250</xdr:colOff>
      <xdr:row>23</xdr:row>
      <xdr:rowOff>38101</xdr:rowOff>
    </xdr:to>
    <xdr:graphicFrame macro="">
      <xdr:nvGraphicFramePr>
        <xdr:cNvPr id="23" name="Chart 22">
          <a:extLst>
            <a:ext uri="{FF2B5EF4-FFF2-40B4-BE49-F238E27FC236}">
              <a16:creationId xmlns:a16="http://schemas.microsoft.com/office/drawing/2014/main" id="{03A8FD0A-F64D-4BD6-B490-1BFF2E1A2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190499</xdr:colOff>
      <xdr:row>23</xdr:row>
      <xdr:rowOff>114300</xdr:rowOff>
    </xdr:from>
    <xdr:to>
      <xdr:col>16</xdr:col>
      <xdr:colOff>219074</xdr:colOff>
      <xdr:row>32</xdr:row>
      <xdr:rowOff>146050</xdr:rowOff>
    </xdr:to>
    <xdr:graphicFrame macro="">
      <xdr:nvGraphicFramePr>
        <xdr:cNvPr id="24" name="Chart 23">
          <a:extLst>
            <a:ext uri="{FF2B5EF4-FFF2-40B4-BE49-F238E27FC236}">
              <a16:creationId xmlns:a16="http://schemas.microsoft.com/office/drawing/2014/main" id="{99A54E6E-9FEF-4B29-BDC7-6BE16F080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390524</xdr:colOff>
      <xdr:row>15</xdr:row>
      <xdr:rowOff>19048</xdr:rowOff>
    </xdr:from>
    <xdr:to>
      <xdr:col>11</xdr:col>
      <xdr:colOff>133349</xdr:colOff>
      <xdr:row>32</xdr:row>
      <xdr:rowOff>133349</xdr:rowOff>
    </xdr:to>
    <xdr:graphicFrame macro="">
      <xdr:nvGraphicFramePr>
        <xdr:cNvPr id="9" name="Chart 8">
          <a:extLst>
            <a:ext uri="{FF2B5EF4-FFF2-40B4-BE49-F238E27FC236}">
              <a16:creationId xmlns:a16="http://schemas.microsoft.com/office/drawing/2014/main" id="{6DA5A1E1-86D7-4D5E-83CE-531241B18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314324</xdr:colOff>
      <xdr:row>0</xdr:row>
      <xdr:rowOff>66676</xdr:rowOff>
    </xdr:from>
    <xdr:to>
      <xdr:col>17</xdr:col>
      <xdr:colOff>438150</xdr:colOff>
      <xdr:row>31</xdr:row>
      <xdr:rowOff>107950</xdr:rowOff>
    </xdr:to>
    <xdr:sp macro="" textlink="">
      <xdr:nvSpPr>
        <xdr:cNvPr id="2" name="Rectangle: Rounded Corners 1">
          <a:extLst>
            <a:ext uri="{FF2B5EF4-FFF2-40B4-BE49-F238E27FC236}">
              <a16:creationId xmlns:a16="http://schemas.microsoft.com/office/drawing/2014/main" id="{4F867820-07F8-4943-A72C-0385AB26C512}"/>
            </a:ext>
          </a:extLst>
        </xdr:cNvPr>
        <xdr:cNvSpPr/>
      </xdr:nvSpPr>
      <xdr:spPr>
        <a:xfrm>
          <a:off x="923924" y="66676"/>
          <a:ext cx="9877426" cy="5749924"/>
        </a:xfrm>
        <a:prstGeom prst="roundRect">
          <a:avLst>
            <a:gd name="adj" fmla="val 2928"/>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4</xdr:col>
      <xdr:colOff>307974</xdr:colOff>
      <xdr:row>0</xdr:row>
      <xdr:rowOff>133350</xdr:rowOff>
    </xdr:from>
    <xdr:to>
      <xdr:col>17</xdr:col>
      <xdr:colOff>371475</xdr:colOff>
      <xdr:row>31</xdr:row>
      <xdr:rowOff>19050</xdr:rowOff>
    </xdr:to>
    <xdr:sp macro="" textlink="">
      <xdr:nvSpPr>
        <xdr:cNvPr id="3" name="Rectangle: Rounded Corners 2">
          <a:extLst>
            <a:ext uri="{FF2B5EF4-FFF2-40B4-BE49-F238E27FC236}">
              <a16:creationId xmlns:a16="http://schemas.microsoft.com/office/drawing/2014/main" id="{550828B6-3CCC-4B01-8F60-CBAFBF7701DA}"/>
            </a:ext>
          </a:extLst>
        </xdr:cNvPr>
        <xdr:cNvSpPr/>
      </xdr:nvSpPr>
      <xdr:spPr>
        <a:xfrm>
          <a:off x="2746374" y="133350"/>
          <a:ext cx="7988301" cy="5594350"/>
        </a:xfrm>
        <a:prstGeom prst="roundRect">
          <a:avLst>
            <a:gd name="adj" fmla="val 1906"/>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editAs="oneCell">
    <xdr:from>
      <xdr:col>4</xdr:col>
      <xdr:colOff>368300</xdr:colOff>
      <xdr:row>1</xdr:row>
      <xdr:rowOff>50800</xdr:rowOff>
    </xdr:from>
    <xdr:to>
      <xdr:col>13</xdr:col>
      <xdr:colOff>184150</xdr:colOff>
      <xdr:row>8</xdr:row>
      <xdr:rowOff>95250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333C19B8-8608-4004-A7EF-1A7C740FC5CF}"/>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806700" y="241300"/>
              <a:ext cx="4959350" cy="1377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254000</xdr:colOff>
      <xdr:row>1</xdr:row>
      <xdr:rowOff>50800</xdr:rowOff>
    </xdr:from>
    <xdr:to>
      <xdr:col>17</xdr:col>
      <xdr:colOff>279400</xdr:colOff>
      <xdr:row>8</xdr:row>
      <xdr:rowOff>88900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A023BF08-C600-4CEE-8B4A-E73A05DE3DC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823200" y="241300"/>
              <a:ext cx="21082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374650</xdr:colOff>
      <xdr:row>8</xdr:row>
      <xdr:rowOff>158750</xdr:rowOff>
    </xdr:from>
    <xdr:to>
      <xdr:col>17</xdr:col>
      <xdr:colOff>279400</xdr:colOff>
      <xdr:row>12</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47FF66DC-C1C3-49AC-B790-BEBC90CC3199}"/>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813050" y="1682750"/>
              <a:ext cx="7137400" cy="64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393700</xdr:colOff>
      <xdr:row>12</xdr:row>
      <xdr:rowOff>88900</xdr:rowOff>
    </xdr:from>
    <xdr:to>
      <xdr:col>17</xdr:col>
      <xdr:colOff>260350</xdr:colOff>
      <xdr:row>14</xdr:row>
      <xdr:rowOff>120650</xdr:rowOff>
    </xdr:to>
    <xdr:sp macro="" textlink="">
      <xdr:nvSpPr>
        <xdr:cNvPr id="7" name="Rectangle 6">
          <a:extLst>
            <a:ext uri="{FF2B5EF4-FFF2-40B4-BE49-F238E27FC236}">
              <a16:creationId xmlns:a16="http://schemas.microsoft.com/office/drawing/2014/main" id="{E188F1C3-918F-4118-AC6A-7F2BBB984AA3}"/>
            </a:ext>
          </a:extLst>
        </xdr:cNvPr>
        <xdr:cNvSpPr/>
      </xdr:nvSpPr>
      <xdr:spPr>
        <a:xfrm>
          <a:off x="2832100" y="2298700"/>
          <a:ext cx="7791450" cy="40005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      </a:t>
          </a:r>
          <a:r>
            <a:rPr lang="en-GB" sz="1100" b="1">
              <a:solidFill>
                <a:schemeClr val="tx1"/>
              </a:solidFill>
            </a:rPr>
            <a:t>Analytics</a:t>
          </a:r>
          <a:r>
            <a:rPr lang="en-GB" sz="1100" b="1"/>
            <a:t> </a:t>
          </a:r>
        </a:p>
      </xdr:txBody>
    </xdr:sp>
    <xdr:clientData/>
  </xdr:twoCellAnchor>
  <xdr:twoCellAnchor editAs="oneCell">
    <xdr:from>
      <xdr:col>10</xdr:col>
      <xdr:colOff>146050</xdr:colOff>
      <xdr:row>12</xdr:row>
      <xdr:rowOff>146050</xdr:rowOff>
    </xdr:from>
    <xdr:to>
      <xdr:col>10</xdr:col>
      <xdr:colOff>438150</xdr:colOff>
      <xdr:row>14</xdr:row>
      <xdr:rowOff>82550</xdr:rowOff>
    </xdr:to>
    <xdr:pic>
      <xdr:nvPicPr>
        <xdr:cNvPr id="8" name="Graphic 7" descr="Bar chart with solid fill">
          <a:extLst>
            <a:ext uri="{FF2B5EF4-FFF2-40B4-BE49-F238E27FC236}">
              <a16:creationId xmlns:a16="http://schemas.microsoft.com/office/drawing/2014/main" id="{4D9E0155-BA5F-4E77-9577-0261239895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42050" y="2355850"/>
          <a:ext cx="292100" cy="304800"/>
        </a:xfrm>
        <a:prstGeom prst="rect">
          <a:avLst/>
        </a:prstGeom>
      </xdr:spPr>
    </xdr:pic>
    <xdr:clientData/>
  </xdr:twoCellAnchor>
  <xdr:twoCellAnchor>
    <xdr:from>
      <xdr:col>1</xdr:col>
      <xdr:colOff>590549</xdr:colOff>
      <xdr:row>3</xdr:row>
      <xdr:rowOff>104775</xdr:rowOff>
    </xdr:from>
    <xdr:to>
      <xdr:col>4</xdr:col>
      <xdr:colOff>200024</xdr:colOff>
      <xdr:row>5</xdr:row>
      <xdr:rowOff>104774</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5C602EB9-2677-47C4-B7B2-E537575FD93A}"/>
            </a:ext>
          </a:extLst>
        </xdr:cNvPr>
        <xdr:cNvSpPr/>
      </xdr:nvSpPr>
      <xdr:spPr>
        <a:xfrm>
          <a:off x="1200149" y="676275"/>
          <a:ext cx="1438275" cy="380999"/>
        </a:xfrm>
        <a:prstGeom prst="roundRect">
          <a:avLst>
            <a:gd name="adj" fmla="val 50000"/>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DASHBOARD</a:t>
          </a:r>
        </a:p>
      </xdr:txBody>
    </xdr:sp>
    <xdr:clientData/>
  </xdr:twoCellAnchor>
  <xdr:twoCellAnchor>
    <xdr:from>
      <xdr:col>1</xdr:col>
      <xdr:colOff>581025</xdr:colOff>
      <xdr:row>6</xdr:row>
      <xdr:rowOff>38100</xdr:rowOff>
    </xdr:from>
    <xdr:to>
      <xdr:col>4</xdr:col>
      <xdr:colOff>219074</xdr:colOff>
      <xdr:row>7</xdr:row>
      <xdr:rowOff>133350</xdr:rowOff>
    </xdr:to>
    <xdr:sp macro="" textlink="">
      <xdr:nvSpPr>
        <xdr:cNvPr id="17" name="Rectangle: Rounded Corners 16">
          <a:extLst>
            <a:ext uri="{FF2B5EF4-FFF2-40B4-BE49-F238E27FC236}">
              <a16:creationId xmlns:a16="http://schemas.microsoft.com/office/drawing/2014/main" id="{6FCD967E-4626-408B-BAA5-687271673BBB}"/>
            </a:ext>
          </a:extLst>
        </xdr:cNvPr>
        <xdr:cNvSpPr/>
      </xdr:nvSpPr>
      <xdr:spPr>
        <a:xfrm>
          <a:off x="1190625" y="1181100"/>
          <a:ext cx="1466849" cy="285750"/>
        </a:xfrm>
        <a:prstGeom prst="roundRect">
          <a:avLst>
            <a:gd name="adj" fmla="val 47223"/>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581025</xdr:colOff>
      <xdr:row>8</xdr:row>
      <xdr:rowOff>133350</xdr:rowOff>
    </xdr:from>
    <xdr:to>
      <xdr:col>4</xdr:col>
      <xdr:colOff>180975</xdr:colOff>
      <xdr:row>10</xdr:row>
      <xdr:rowOff>114300</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9FD71459-3784-4D6F-8512-3B328A4EFA3E}"/>
            </a:ext>
          </a:extLst>
        </xdr:cNvPr>
        <xdr:cNvSpPr/>
      </xdr:nvSpPr>
      <xdr:spPr>
        <a:xfrm>
          <a:off x="1190625" y="1657350"/>
          <a:ext cx="1428750" cy="361950"/>
        </a:xfrm>
        <a:prstGeom prst="roundRect">
          <a:avLst>
            <a:gd name="adj" fmla="val 47223"/>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SALESMAN</a:t>
          </a:r>
        </a:p>
      </xdr:txBody>
    </xdr:sp>
    <xdr:clientData/>
  </xdr:twoCellAnchor>
  <xdr:twoCellAnchor>
    <xdr:from>
      <xdr:col>2</xdr:col>
      <xdr:colOff>19050</xdr:colOff>
      <xdr:row>6</xdr:row>
      <xdr:rowOff>47625</xdr:rowOff>
    </xdr:from>
    <xdr:to>
      <xdr:col>4</xdr:col>
      <xdr:colOff>200025</xdr:colOff>
      <xdr:row>8</xdr:row>
      <xdr:rowOff>38100</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F9FED5BA-3F89-479C-BE4D-F3C0C0C7CFC6}"/>
            </a:ext>
          </a:extLst>
        </xdr:cNvPr>
        <xdr:cNvSpPr/>
      </xdr:nvSpPr>
      <xdr:spPr>
        <a:xfrm>
          <a:off x="1238250" y="1190625"/>
          <a:ext cx="1400175" cy="371475"/>
        </a:xfrm>
        <a:prstGeom prst="roundRect">
          <a:avLst>
            <a:gd name="adj" fmla="val 5000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        PRODUCTS</a:t>
          </a:r>
        </a:p>
      </xdr:txBody>
    </xdr:sp>
    <xdr:clientData/>
  </xdr:twoCellAnchor>
  <xdr:twoCellAnchor>
    <xdr:from>
      <xdr:col>1</xdr:col>
      <xdr:colOff>571500</xdr:colOff>
      <xdr:row>11</xdr:row>
      <xdr:rowOff>57150</xdr:rowOff>
    </xdr:from>
    <xdr:to>
      <xdr:col>4</xdr:col>
      <xdr:colOff>171450</xdr:colOff>
      <xdr:row>13</xdr:row>
      <xdr:rowOff>38100</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531DAE34-7884-419A-BAE7-369DF129B602}"/>
            </a:ext>
          </a:extLst>
        </xdr:cNvPr>
        <xdr:cNvSpPr/>
      </xdr:nvSpPr>
      <xdr:spPr>
        <a:xfrm>
          <a:off x="1181100" y="2152650"/>
          <a:ext cx="1428750" cy="361950"/>
        </a:xfrm>
        <a:prstGeom prst="roundRect">
          <a:avLst>
            <a:gd name="adj" fmla="val 47223"/>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ABOUT</a:t>
          </a:r>
        </a:p>
      </xdr:txBody>
    </xdr:sp>
    <xdr:clientData/>
  </xdr:twoCellAnchor>
  <xdr:twoCellAnchor>
    <xdr:from>
      <xdr:col>4</xdr:col>
      <xdr:colOff>393700</xdr:colOff>
      <xdr:row>15</xdr:row>
      <xdr:rowOff>28574</xdr:rowOff>
    </xdr:from>
    <xdr:to>
      <xdr:col>11</xdr:col>
      <xdr:colOff>495299</xdr:colOff>
      <xdr:row>30</xdr:row>
      <xdr:rowOff>95249</xdr:rowOff>
    </xdr:to>
    <xdr:graphicFrame macro="">
      <xdr:nvGraphicFramePr>
        <xdr:cNvPr id="9" name="Chart 8">
          <a:extLst>
            <a:ext uri="{FF2B5EF4-FFF2-40B4-BE49-F238E27FC236}">
              <a16:creationId xmlns:a16="http://schemas.microsoft.com/office/drawing/2014/main" id="{8502A02F-DEE7-478C-A53B-623FA239E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552449</xdr:colOff>
      <xdr:row>15</xdr:row>
      <xdr:rowOff>19049</xdr:rowOff>
    </xdr:from>
    <xdr:to>
      <xdr:col>17</xdr:col>
      <xdr:colOff>273050</xdr:colOff>
      <xdr:row>22</xdr:row>
      <xdr:rowOff>114300</xdr:rowOff>
    </xdr:to>
    <xdr:graphicFrame macro="">
      <xdr:nvGraphicFramePr>
        <xdr:cNvPr id="11" name="Chart 10">
          <a:extLst>
            <a:ext uri="{FF2B5EF4-FFF2-40B4-BE49-F238E27FC236}">
              <a16:creationId xmlns:a16="http://schemas.microsoft.com/office/drawing/2014/main" id="{436E154F-F898-4E49-B329-16624A377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542925</xdr:colOff>
      <xdr:row>22</xdr:row>
      <xdr:rowOff>152399</xdr:rowOff>
    </xdr:from>
    <xdr:to>
      <xdr:col>17</xdr:col>
      <xdr:colOff>276224</xdr:colOff>
      <xdr:row>30</xdr:row>
      <xdr:rowOff>95250</xdr:rowOff>
    </xdr:to>
    <xdr:graphicFrame macro="">
      <xdr:nvGraphicFramePr>
        <xdr:cNvPr id="12" name="Chart 11">
          <a:extLst>
            <a:ext uri="{FF2B5EF4-FFF2-40B4-BE49-F238E27FC236}">
              <a16:creationId xmlns:a16="http://schemas.microsoft.com/office/drawing/2014/main" id="{9AB6B307-4B78-4540-917D-663465834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209550</xdr:colOff>
      <xdr:row>0</xdr:row>
      <xdr:rowOff>57150</xdr:rowOff>
    </xdr:from>
    <xdr:to>
      <xdr:col>16</xdr:col>
      <xdr:colOff>523875</xdr:colOff>
      <xdr:row>34</xdr:row>
      <xdr:rowOff>187325</xdr:rowOff>
    </xdr:to>
    <xdr:sp macro="" textlink="">
      <xdr:nvSpPr>
        <xdr:cNvPr id="16" name="Rectangle: Rounded Corners 15">
          <a:extLst>
            <a:ext uri="{FF2B5EF4-FFF2-40B4-BE49-F238E27FC236}">
              <a16:creationId xmlns:a16="http://schemas.microsoft.com/office/drawing/2014/main" id="{E222EFEC-2940-40EE-B622-14F6CD8BFB26}"/>
            </a:ext>
          </a:extLst>
        </xdr:cNvPr>
        <xdr:cNvSpPr/>
      </xdr:nvSpPr>
      <xdr:spPr>
        <a:xfrm>
          <a:off x="819150" y="57150"/>
          <a:ext cx="9458325" cy="6607175"/>
        </a:xfrm>
        <a:prstGeom prst="roundRect">
          <a:avLst>
            <a:gd name="adj" fmla="val 2928"/>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  </a:t>
          </a:r>
        </a:p>
      </xdr:txBody>
    </xdr:sp>
    <xdr:clientData/>
  </xdr:twoCellAnchor>
  <xdr:twoCellAnchor>
    <xdr:from>
      <xdr:col>4</xdr:col>
      <xdr:colOff>288924</xdr:colOff>
      <xdr:row>0</xdr:row>
      <xdr:rowOff>123824</xdr:rowOff>
    </xdr:from>
    <xdr:to>
      <xdr:col>16</xdr:col>
      <xdr:colOff>476249</xdr:colOff>
      <xdr:row>34</xdr:row>
      <xdr:rowOff>88900</xdr:rowOff>
    </xdr:to>
    <xdr:sp macro="" textlink="">
      <xdr:nvSpPr>
        <xdr:cNvPr id="2" name="Rectangle: Rounded Corners 1">
          <a:extLst>
            <a:ext uri="{FF2B5EF4-FFF2-40B4-BE49-F238E27FC236}">
              <a16:creationId xmlns:a16="http://schemas.microsoft.com/office/drawing/2014/main" id="{FA471EE0-ED9A-B75A-31CC-3BD137184A1B}"/>
            </a:ext>
          </a:extLst>
        </xdr:cNvPr>
        <xdr:cNvSpPr/>
      </xdr:nvSpPr>
      <xdr:spPr>
        <a:xfrm>
          <a:off x="2727324" y="123824"/>
          <a:ext cx="7502525" cy="6226176"/>
        </a:xfrm>
        <a:prstGeom prst="roundRect">
          <a:avLst>
            <a:gd name="adj" fmla="val 1704"/>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  </a:t>
          </a:r>
        </a:p>
      </xdr:txBody>
    </xdr:sp>
    <xdr:clientData/>
  </xdr:twoCellAnchor>
  <xdr:twoCellAnchor editAs="oneCell">
    <xdr:from>
      <xdr:col>4</xdr:col>
      <xdr:colOff>368300</xdr:colOff>
      <xdr:row>1</xdr:row>
      <xdr:rowOff>50800</xdr:rowOff>
    </xdr:from>
    <xdr:to>
      <xdr:col>12</xdr:col>
      <xdr:colOff>450850</xdr:colOff>
      <xdr:row>8</xdr:row>
      <xdr:rowOff>95250</xdr:rowOff>
    </xdr:to>
    <mc:AlternateContent xmlns:mc="http://schemas.openxmlformats.org/markup-compatibility/2006" xmlns:tsle="http://schemas.microsoft.com/office/drawing/2012/timeslicer">
      <mc:Choice Requires="tsle">
        <xdr:graphicFrame macro="">
          <xdr:nvGraphicFramePr>
            <xdr:cNvPr id="3" name="Date 1">
              <a:extLst>
                <a:ext uri="{FF2B5EF4-FFF2-40B4-BE49-F238E27FC236}">
                  <a16:creationId xmlns:a16="http://schemas.microsoft.com/office/drawing/2014/main" id="{6DA59F80-010E-4275-BB5D-C7BA4F68A4A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806700" y="241300"/>
              <a:ext cx="4959350" cy="1377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507999</xdr:colOff>
      <xdr:row>1</xdr:row>
      <xdr:rowOff>50800</xdr:rowOff>
    </xdr:from>
    <xdr:to>
      <xdr:col>16</xdr:col>
      <xdr:colOff>428624</xdr:colOff>
      <xdr:row>8</xdr:row>
      <xdr:rowOff>88900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D8DCADFB-A7EC-416C-BE1F-53C2903A835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823199" y="241300"/>
              <a:ext cx="2359025"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374650</xdr:colOff>
      <xdr:row>8</xdr:row>
      <xdr:rowOff>158750</xdr:rowOff>
    </xdr:from>
    <xdr:to>
      <xdr:col>16</xdr:col>
      <xdr:colOff>400050</xdr:colOff>
      <xdr:row>12</xdr:row>
      <xdr:rowOff>38100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509B8317-3606-4124-AAB2-8C29D7649284}"/>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813050" y="1682750"/>
              <a:ext cx="7340600" cy="64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374650</xdr:colOff>
      <xdr:row>12</xdr:row>
      <xdr:rowOff>88900</xdr:rowOff>
    </xdr:from>
    <xdr:to>
      <xdr:col>16</xdr:col>
      <xdr:colOff>400050</xdr:colOff>
      <xdr:row>14</xdr:row>
      <xdr:rowOff>120650</xdr:rowOff>
    </xdr:to>
    <xdr:sp macro="" textlink="">
      <xdr:nvSpPr>
        <xdr:cNvPr id="7" name="Rectangle 6">
          <a:extLst>
            <a:ext uri="{FF2B5EF4-FFF2-40B4-BE49-F238E27FC236}">
              <a16:creationId xmlns:a16="http://schemas.microsoft.com/office/drawing/2014/main" id="{4F119FB4-68E1-5374-A1A9-A9EE71DDD8F8}"/>
            </a:ext>
          </a:extLst>
        </xdr:cNvPr>
        <xdr:cNvSpPr/>
      </xdr:nvSpPr>
      <xdr:spPr>
        <a:xfrm>
          <a:off x="2813050" y="2374900"/>
          <a:ext cx="7340600" cy="41275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      </a:t>
          </a:r>
          <a:r>
            <a:rPr lang="en-GB" sz="1100" b="1">
              <a:solidFill>
                <a:schemeClr val="tx1"/>
              </a:solidFill>
            </a:rPr>
            <a:t>Analytics</a:t>
          </a:r>
          <a:r>
            <a:rPr lang="en-GB" sz="1100" b="1"/>
            <a:t> </a:t>
          </a:r>
        </a:p>
      </xdr:txBody>
    </xdr:sp>
    <xdr:clientData/>
  </xdr:twoCellAnchor>
  <xdr:twoCellAnchor editAs="oneCell">
    <xdr:from>
      <xdr:col>9</xdr:col>
      <xdr:colOff>444500</xdr:colOff>
      <xdr:row>12</xdr:row>
      <xdr:rowOff>127000</xdr:rowOff>
    </xdr:from>
    <xdr:to>
      <xdr:col>10</xdr:col>
      <xdr:colOff>127000</xdr:colOff>
      <xdr:row>14</xdr:row>
      <xdr:rowOff>63500</xdr:rowOff>
    </xdr:to>
    <xdr:pic>
      <xdr:nvPicPr>
        <xdr:cNvPr id="9" name="Graphic 8" descr="Bar chart with solid fill">
          <a:extLst>
            <a:ext uri="{FF2B5EF4-FFF2-40B4-BE49-F238E27FC236}">
              <a16:creationId xmlns:a16="http://schemas.microsoft.com/office/drawing/2014/main" id="{DBD2C471-DBAA-0CE4-4A4D-555DD8F8D9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30900" y="2336800"/>
          <a:ext cx="292100" cy="304800"/>
        </a:xfrm>
        <a:prstGeom prst="rect">
          <a:avLst/>
        </a:prstGeom>
      </xdr:spPr>
    </xdr:pic>
    <xdr:clientData/>
  </xdr:twoCellAnchor>
  <xdr:twoCellAnchor>
    <xdr:from>
      <xdr:col>4</xdr:col>
      <xdr:colOff>342900</xdr:colOff>
      <xdr:row>14</xdr:row>
      <xdr:rowOff>158750</xdr:rowOff>
    </xdr:from>
    <xdr:to>
      <xdr:col>6</xdr:col>
      <xdr:colOff>508000</xdr:colOff>
      <xdr:row>18</xdr:row>
      <xdr:rowOff>133350</xdr:rowOff>
    </xdr:to>
    <xdr:sp macro="" textlink="">
      <xdr:nvSpPr>
        <xdr:cNvPr id="10" name="Rectangle: Rounded Corners 9">
          <a:extLst>
            <a:ext uri="{FF2B5EF4-FFF2-40B4-BE49-F238E27FC236}">
              <a16:creationId xmlns:a16="http://schemas.microsoft.com/office/drawing/2014/main" id="{9304305E-B72C-C02D-6ECE-A49E82BE58E1}"/>
            </a:ext>
          </a:extLst>
        </xdr:cNvPr>
        <xdr:cNvSpPr/>
      </xdr:nvSpPr>
      <xdr:spPr>
        <a:xfrm>
          <a:off x="2781300" y="2736850"/>
          <a:ext cx="1384300" cy="711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p>
      </xdr:txBody>
    </xdr:sp>
    <xdr:clientData/>
  </xdr:twoCellAnchor>
  <xdr:twoCellAnchor>
    <xdr:from>
      <xdr:col>6</xdr:col>
      <xdr:colOff>590550</xdr:colOff>
      <xdr:row>14</xdr:row>
      <xdr:rowOff>177800</xdr:rowOff>
    </xdr:from>
    <xdr:to>
      <xdr:col>9</xdr:col>
      <xdr:colOff>127000</xdr:colOff>
      <xdr:row>18</xdr:row>
      <xdr:rowOff>133350</xdr:rowOff>
    </xdr:to>
    <xdr:sp macro="" textlink="">
      <xdr:nvSpPr>
        <xdr:cNvPr id="11" name="Rectangle: Rounded Corners 10">
          <a:extLst>
            <a:ext uri="{FF2B5EF4-FFF2-40B4-BE49-F238E27FC236}">
              <a16:creationId xmlns:a16="http://schemas.microsoft.com/office/drawing/2014/main" id="{1F6E7270-8B92-D79A-F481-7783A97B029A}"/>
            </a:ext>
          </a:extLst>
        </xdr:cNvPr>
        <xdr:cNvSpPr/>
      </xdr:nvSpPr>
      <xdr:spPr>
        <a:xfrm>
          <a:off x="4248150" y="2755900"/>
          <a:ext cx="1365250" cy="692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p>
      </xdr:txBody>
    </xdr:sp>
    <xdr:clientData/>
  </xdr:twoCellAnchor>
  <xdr:twoCellAnchor>
    <xdr:from>
      <xdr:col>4</xdr:col>
      <xdr:colOff>527050</xdr:colOff>
      <xdr:row>14</xdr:row>
      <xdr:rowOff>165100</xdr:rowOff>
    </xdr:from>
    <xdr:to>
      <xdr:col>6</xdr:col>
      <xdr:colOff>431800</xdr:colOff>
      <xdr:row>18</xdr:row>
      <xdr:rowOff>133350</xdr:rowOff>
    </xdr:to>
    <xdr:sp macro="" textlink="">
      <xdr:nvSpPr>
        <xdr:cNvPr id="12" name="Rectangle: Rounded Corners 11">
          <a:extLst>
            <a:ext uri="{FF2B5EF4-FFF2-40B4-BE49-F238E27FC236}">
              <a16:creationId xmlns:a16="http://schemas.microsoft.com/office/drawing/2014/main" id="{E4FEDBD3-26E6-6D00-A026-F1612DD41782}"/>
            </a:ext>
          </a:extLst>
        </xdr:cNvPr>
        <xdr:cNvSpPr/>
      </xdr:nvSpPr>
      <xdr:spPr>
        <a:xfrm>
          <a:off x="2965450" y="2743200"/>
          <a:ext cx="1123950" cy="704850"/>
        </a:xfrm>
        <a:prstGeom prst="roundRect">
          <a:avLst>
            <a:gd name="adj" fmla="val 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   Total</a:t>
          </a:r>
          <a:r>
            <a:rPr lang="en-GB" sz="1100" b="1" baseline="0">
              <a:solidFill>
                <a:schemeClr val="tx1"/>
              </a:solidFill>
            </a:rPr>
            <a:t> amount</a:t>
          </a:r>
          <a:endParaRPr lang="en-GB" sz="1100" b="1">
            <a:solidFill>
              <a:schemeClr val="tx1"/>
            </a:solidFill>
          </a:endParaRPr>
        </a:p>
      </xdr:txBody>
    </xdr:sp>
    <xdr:clientData/>
  </xdr:twoCellAnchor>
  <xdr:twoCellAnchor>
    <xdr:from>
      <xdr:col>7</xdr:col>
      <xdr:colOff>165100</xdr:colOff>
      <xdr:row>15</xdr:row>
      <xdr:rowOff>0</xdr:rowOff>
    </xdr:from>
    <xdr:to>
      <xdr:col>9</xdr:col>
      <xdr:colOff>50800</xdr:colOff>
      <xdr:row>18</xdr:row>
      <xdr:rowOff>127000</xdr:rowOff>
    </xdr:to>
    <xdr:sp macro="" textlink="">
      <xdr:nvSpPr>
        <xdr:cNvPr id="13" name="Rectangle: Rounded Corners 12">
          <a:extLst>
            <a:ext uri="{FF2B5EF4-FFF2-40B4-BE49-F238E27FC236}">
              <a16:creationId xmlns:a16="http://schemas.microsoft.com/office/drawing/2014/main" id="{49FBC854-8C20-E7B8-E9D7-0D3E5A5E3772}"/>
            </a:ext>
          </a:extLst>
        </xdr:cNvPr>
        <xdr:cNvSpPr/>
      </xdr:nvSpPr>
      <xdr:spPr>
        <a:xfrm>
          <a:off x="4432300" y="2762250"/>
          <a:ext cx="1104900" cy="679450"/>
        </a:xfrm>
        <a:prstGeom prst="roundRect">
          <a:avLst>
            <a:gd name="adj" fmla="val 220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      Total</a:t>
          </a:r>
          <a:r>
            <a:rPr lang="en-GB" sz="1100" b="1" baseline="0">
              <a:solidFill>
                <a:schemeClr val="tx1"/>
              </a:solidFill>
            </a:rPr>
            <a:t> sales</a:t>
          </a:r>
          <a:endParaRPr lang="en-GB" sz="1100" b="1">
            <a:solidFill>
              <a:schemeClr val="tx1"/>
            </a:solidFill>
          </a:endParaRPr>
        </a:p>
      </xdr:txBody>
    </xdr:sp>
    <xdr:clientData/>
  </xdr:twoCellAnchor>
  <xdr:twoCellAnchor>
    <xdr:from>
      <xdr:col>9</xdr:col>
      <xdr:colOff>241300</xdr:colOff>
      <xdr:row>23</xdr:row>
      <xdr:rowOff>142874</xdr:rowOff>
    </xdr:from>
    <xdr:to>
      <xdr:col>16</xdr:col>
      <xdr:colOff>428625</xdr:colOff>
      <xdr:row>33</xdr:row>
      <xdr:rowOff>171450</xdr:rowOff>
    </xdr:to>
    <xdr:graphicFrame macro="">
      <xdr:nvGraphicFramePr>
        <xdr:cNvPr id="14" name="Chart 13">
          <a:extLst>
            <a:ext uri="{FF2B5EF4-FFF2-40B4-BE49-F238E27FC236}">
              <a16:creationId xmlns:a16="http://schemas.microsoft.com/office/drawing/2014/main" id="{BB5D604D-921D-4740-BC05-9A10F6293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590549</xdr:colOff>
      <xdr:row>3</xdr:row>
      <xdr:rowOff>104775</xdr:rowOff>
    </xdr:from>
    <xdr:to>
      <xdr:col>4</xdr:col>
      <xdr:colOff>200024</xdr:colOff>
      <xdr:row>5</xdr:row>
      <xdr:rowOff>104774</xdr:rowOff>
    </xdr:to>
    <xdr:sp macro="" textlink="">
      <xdr:nvSpPr>
        <xdr:cNvPr id="4" name="Rectangle: Rounded Corners 3">
          <a:hlinkClick xmlns:r="http://schemas.openxmlformats.org/officeDocument/2006/relationships" r:id="rId4"/>
          <a:extLst>
            <a:ext uri="{FF2B5EF4-FFF2-40B4-BE49-F238E27FC236}">
              <a16:creationId xmlns:a16="http://schemas.microsoft.com/office/drawing/2014/main" id="{E6F2D907-268C-E6AC-5477-25027D1D2463}"/>
            </a:ext>
          </a:extLst>
        </xdr:cNvPr>
        <xdr:cNvSpPr/>
      </xdr:nvSpPr>
      <xdr:spPr>
        <a:xfrm>
          <a:off x="1200149" y="676275"/>
          <a:ext cx="1438275" cy="380999"/>
        </a:xfrm>
        <a:prstGeom prst="roundRect">
          <a:avLst>
            <a:gd name="adj" fmla="val 5000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       DASHBOARD</a:t>
          </a:r>
        </a:p>
      </xdr:txBody>
    </xdr:sp>
    <xdr:clientData/>
  </xdr:twoCellAnchor>
  <xdr:twoCellAnchor>
    <xdr:from>
      <xdr:col>1</xdr:col>
      <xdr:colOff>581025</xdr:colOff>
      <xdr:row>6</xdr:row>
      <xdr:rowOff>38100</xdr:rowOff>
    </xdr:from>
    <xdr:to>
      <xdr:col>4</xdr:col>
      <xdr:colOff>219074</xdr:colOff>
      <xdr:row>7</xdr:row>
      <xdr:rowOff>133350</xdr:rowOff>
    </xdr:to>
    <xdr:sp macro="" textlink="">
      <xdr:nvSpPr>
        <xdr:cNvPr id="17" name="Rectangle: Rounded Corners 16">
          <a:extLst>
            <a:ext uri="{FF2B5EF4-FFF2-40B4-BE49-F238E27FC236}">
              <a16:creationId xmlns:a16="http://schemas.microsoft.com/office/drawing/2014/main" id="{E172EAED-7BE8-674B-3E66-7B835A36ECAF}"/>
            </a:ext>
          </a:extLst>
        </xdr:cNvPr>
        <xdr:cNvSpPr/>
      </xdr:nvSpPr>
      <xdr:spPr>
        <a:xfrm>
          <a:off x="1190625" y="1181100"/>
          <a:ext cx="1466849" cy="285750"/>
        </a:xfrm>
        <a:prstGeom prst="roundRect">
          <a:avLst>
            <a:gd name="adj" fmla="val 47223"/>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581025</xdr:colOff>
      <xdr:row>8</xdr:row>
      <xdr:rowOff>133350</xdr:rowOff>
    </xdr:from>
    <xdr:to>
      <xdr:col>4</xdr:col>
      <xdr:colOff>180975</xdr:colOff>
      <xdr:row>10</xdr:row>
      <xdr:rowOff>114300</xdr:rowOff>
    </xdr:to>
    <xdr:sp macro="" textlink="">
      <xdr:nvSpPr>
        <xdr:cNvPr id="21" name="Rectangle: Rounded Corners 20">
          <a:hlinkClick xmlns:r="http://schemas.openxmlformats.org/officeDocument/2006/relationships" r:id="rId5"/>
          <a:extLst>
            <a:ext uri="{FF2B5EF4-FFF2-40B4-BE49-F238E27FC236}">
              <a16:creationId xmlns:a16="http://schemas.microsoft.com/office/drawing/2014/main" id="{8F997AFC-1F57-0D21-5C9E-539C9739205C}"/>
            </a:ext>
          </a:extLst>
        </xdr:cNvPr>
        <xdr:cNvSpPr/>
      </xdr:nvSpPr>
      <xdr:spPr>
        <a:xfrm>
          <a:off x="1190625" y="1657350"/>
          <a:ext cx="1428750" cy="361950"/>
        </a:xfrm>
        <a:prstGeom prst="roundRect">
          <a:avLst>
            <a:gd name="adj" fmla="val 47223"/>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a:t>
          </a:r>
          <a:r>
            <a:rPr lang="en-US" sz="1100" b="1">
              <a:solidFill>
                <a:schemeClr val="tx1"/>
              </a:solidFill>
            </a:rPr>
            <a:t>SALESMAN</a:t>
          </a:r>
        </a:p>
      </xdr:txBody>
    </xdr:sp>
    <xdr:clientData/>
  </xdr:twoCellAnchor>
  <xdr:twoCellAnchor>
    <xdr:from>
      <xdr:col>2</xdr:col>
      <xdr:colOff>19050</xdr:colOff>
      <xdr:row>6</xdr:row>
      <xdr:rowOff>47625</xdr:rowOff>
    </xdr:from>
    <xdr:to>
      <xdr:col>4</xdr:col>
      <xdr:colOff>200025</xdr:colOff>
      <xdr:row>8</xdr:row>
      <xdr:rowOff>38100</xdr:rowOff>
    </xdr:to>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5D5A0EED-E4B8-67F6-81F4-D6CA6899A0FA}"/>
            </a:ext>
          </a:extLst>
        </xdr:cNvPr>
        <xdr:cNvSpPr/>
      </xdr:nvSpPr>
      <xdr:spPr>
        <a:xfrm>
          <a:off x="1238250" y="1190625"/>
          <a:ext cx="1400175" cy="371475"/>
        </a:xfrm>
        <a:prstGeom prst="roundRect">
          <a:avLst>
            <a:gd name="adj" fmla="val 50000"/>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        PRODUCTS</a:t>
          </a:r>
        </a:p>
      </xdr:txBody>
    </xdr:sp>
    <xdr:clientData/>
  </xdr:twoCellAnchor>
  <xdr:twoCellAnchor>
    <xdr:from>
      <xdr:col>1</xdr:col>
      <xdr:colOff>571500</xdr:colOff>
      <xdr:row>11</xdr:row>
      <xdr:rowOff>57150</xdr:rowOff>
    </xdr:from>
    <xdr:to>
      <xdr:col>4</xdr:col>
      <xdr:colOff>171450</xdr:colOff>
      <xdr:row>13</xdr:row>
      <xdr:rowOff>38100</xdr:rowOff>
    </xdr:to>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6C706A56-3FB8-4E1D-A292-96C178BA9A91}"/>
            </a:ext>
          </a:extLst>
        </xdr:cNvPr>
        <xdr:cNvSpPr/>
      </xdr:nvSpPr>
      <xdr:spPr>
        <a:xfrm>
          <a:off x="1181100" y="2152650"/>
          <a:ext cx="1428750" cy="361950"/>
        </a:xfrm>
        <a:prstGeom prst="roundRect">
          <a:avLst>
            <a:gd name="adj" fmla="val 47223"/>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            ABOUT</a:t>
          </a:r>
        </a:p>
      </xdr:txBody>
    </xdr:sp>
    <xdr:clientData/>
  </xdr:twoCellAnchor>
  <xdr:twoCellAnchor>
    <xdr:from>
      <xdr:col>4</xdr:col>
      <xdr:colOff>365125</xdr:colOff>
      <xdr:row>18</xdr:row>
      <xdr:rowOff>190499</xdr:rowOff>
    </xdr:from>
    <xdr:to>
      <xdr:col>9</xdr:col>
      <xdr:colOff>161925</xdr:colOff>
      <xdr:row>34</xdr:row>
      <xdr:rowOff>9525</xdr:rowOff>
    </xdr:to>
    <xdr:graphicFrame macro="">
      <xdr:nvGraphicFramePr>
        <xdr:cNvPr id="18" name="Chart 17">
          <a:extLst>
            <a:ext uri="{FF2B5EF4-FFF2-40B4-BE49-F238E27FC236}">
              <a16:creationId xmlns:a16="http://schemas.microsoft.com/office/drawing/2014/main" id="{EEC5FFDA-00AD-4EA0-998F-2D3BA45A4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38101</xdr:colOff>
      <xdr:row>16</xdr:row>
      <xdr:rowOff>85725</xdr:rowOff>
    </xdr:from>
    <xdr:to>
      <xdr:col>6</xdr:col>
      <xdr:colOff>333375</xdr:colOff>
      <xdr:row>18</xdr:row>
      <xdr:rowOff>0</xdr:rowOff>
    </xdr:to>
    <xdr:sp macro="" textlink="PIVOT!F23">
      <xdr:nvSpPr>
        <xdr:cNvPr id="22" name="TextBox 21">
          <a:extLst>
            <a:ext uri="{FF2B5EF4-FFF2-40B4-BE49-F238E27FC236}">
              <a16:creationId xmlns:a16="http://schemas.microsoft.com/office/drawing/2014/main" id="{8BB5603A-428A-5E37-52EE-A8D568066228}"/>
            </a:ext>
          </a:extLst>
        </xdr:cNvPr>
        <xdr:cNvSpPr txBox="1"/>
      </xdr:nvSpPr>
      <xdr:spPr>
        <a:xfrm>
          <a:off x="3086101" y="3133725"/>
          <a:ext cx="9048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B26681-74B1-4EE8-A0A8-02BA9B42FD30}" type="TxLink">
            <a:rPr lang="en-US" sz="12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1,782,570</a:t>
          </a:fld>
          <a:endParaRPr lang="en-US" sz="1200" b="1"/>
        </a:p>
      </xdr:txBody>
    </xdr:sp>
    <xdr:clientData/>
  </xdr:twoCellAnchor>
  <xdr:twoCellAnchor>
    <xdr:from>
      <xdr:col>7</xdr:col>
      <xdr:colOff>466725</xdr:colOff>
      <xdr:row>16</xdr:row>
      <xdr:rowOff>95250</xdr:rowOff>
    </xdr:from>
    <xdr:to>
      <xdr:col>8</xdr:col>
      <xdr:colOff>533400</xdr:colOff>
      <xdr:row>17</xdr:row>
      <xdr:rowOff>152400</xdr:rowOff>
    </xdr:to>
    <xdr:sp macro="" textlink="PIVOT!I24">
      <xdr:nvSpPr>
        <xdr:cNvPr id="23" name="TextBox 22">
          <a:extLst>
            <a:ext uri="{FF2B5EF4-FFF2-40B4-BE49-F238E27FC236}">
              <a16:creationId xmlns:a16="http://schemas.microsoft.com/office/drawing/2014/main" id="{A04FE097-9F56-9E86-5B52-19103DD9235C}"/>
            </a:ext>
          </a:extLst>
        </xdr:cNvPr>
        <xdr:cNvSpPr txBox="1"/>
      </xdr:nvSpPr>
      <xdr:spPr>
        <a:xfrm>
          <a:off x="4733925" y="3143250"/>
          <a:ext cx="6762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75B009-106A-4026-B63C-1D51D1A316EB}" type="TxLink">
            <a:rPr lang="en-US" sz="12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366</a:t>
          </a:fld>
          <a:endParaRPr lang="en-US" sz="1200" b="1"/>
        </a:p>
      </xdr:txBody>
    </xdr:sp>
    <xdr:clientData/>
  </xdr:twoCellAnchor>
  <xdr:twoCellAnchor>
    <xdr:from>
      <xdr:col>9</xdr:col>
      <xdr:colOff>228600</xdr:colOff>
      <xdr:row>14</xdr:row>
      <xdr:rowOff>190499</xdr:rowOff>
    </xdr:from>
    <xdr:to>
      <xdr:col>16</xdr:col>
      <xdr:colOff>419100</xdr:colOff>
      <xdr:row>23</xdr:row>
      <xdr:rowOff>104774</xdr:rowOff>
    </xdr:to>
    <xdr:graphicFrame macro="">
      <xdr:nvGraphicFramePr>
        <xdr:cNvPr id="24" name="Chart 23">
          <a:extLst>
            <a:ext uri="{FF2B5EF4-FFF2-40B4-BE49-F238E27FC236}">
              <a16:creationId xmlns:a16="http://schemas.microsoft.com/office/drawing/2014/main" id="{082EC82C-18A9-48DF-B498-2F6EC9E88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367824071" backgroundQuery="1" createdVersion="8" refreshedVersion="8" minRefreshableVersion="3" recordCount="0" supportSubquery="1" supportAdvancedDrill="1" xr:uid="{BC9306FF-6939-4DD1-891D-FCA270129F14}">
  <cacheSource type="external" connectionId="1"/>
  <cacheFields count="2">
    <cacheField name="[Range].[Item].[Item]" caption="Item" numFmtId="0" hierarchy="4" level="1">
      <sharedItems count="3">
        <s v="Mouse"/>
        <s v="Printer"/>
        <s v="Speaker"/>
      </sharedItems>
    </cacheField>
    <cacheField name="[Measures].[Count of Amount]" caption="Count of Amount" numFmtId="0" hierarchy="16"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368402779" backgroundQuery="1" createdVersion="8" refreshedVersion="8" minRefreshableVersion="3" recordCount="0" supportSubquery="1" supportAdvancedDrill="1" xr:uid="{5FF884D9-191B-4537-AD06-B401D3FB2013}">
  <cacheSource type="external" connectionId="1"/>
  <cacheFields count="2">
    <cacheField name="[Range].[Item].[Item]" caption="Item" numFmtId="0" hierarchy="4" level="1">
      <sharedItems count="6">
        <s v="Keyboard"/>
        <s v="Monitor"/>
        <s v="Scanner"/>
        <s v="Mouse" u="1"/>
        <s v="Printer" u="1"/>
        <s v="Speaker" u="1"/>
      </sharedItems>
    </cacheField>
    <cacheField name="[Measures].[Count of Amount]" caption="Count of Amount" numFmtId="0" hierarchy="16"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397106482" backgroundQuery="1" createdVersion="8" refreshedVersion="8" minRefreshableVersion="3" recordCount="0" supportSubquery="1" supportAdvancedDrill="1" xr:uid="{5C745890-782F-4D92-93A9-F5355070073A}">
  <cacheSource type="external" connectionId="1"/>
  <cacheFields count="2">
    <cacheField name="[Range].[Item].[Item]" caption="Item" numFmtId="0" hierarchy="4" level="1">
      <sharedItems count="6">
        <s v="Keyboard"/>
        <s v="Monitor"/>
        <s v="Mouse"/>
        <s v="Printer"/>
        <s v="Scanner"/>
        <s v="Speaker"/>
      </sharedItems>
    </cacheField>
    <cacheField name="[Measures].[Sum of Amount]" caption="Sum of Amount"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397685183" backgroundQuery="1" createdVersion="8" refreshedVersion="8" minRefreshableVersion="3" recordCount="0" supportSubquery="1" supportAdvancedDrill="1" xr:uid="{3E0A4B85-A56C-4B98-8888-47F8A94ED181}">
  <cacheSource type="external" connectionId="1"/>
  <cacheFields count="2">
    <cacheField name="[Range].[Item].[Item]" caption="Item" numFmtId="0" hierarchy="4" level="1">
      <sharedItems count="6">
        <s v="Keyboard"/>
        <s v="Monitor"/>
        <s v="Mouse"/>
        <s v="Printer"/>
        <s v="Scanner"/>
        <s v="Speaker"/>
      </sharedItems>
    </cacheField>
    <cacheField name="[Measures].[Sum of Qty]" caption="Sum of Qty" numFmtId="0" hierarchy="15"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398032406" backgroundQuery="1" createdVersion="8" refreshedVersion="8" minRefreshableVersion="3" recordCount="0" supportSubquery="1" supportAdvancedDrill="1" xr:uid="{9AABE347-64BA-4861-859F-86E2422AF83F}">
  <cacheSource type="external" connectionId="1"/>
  <cacheFields count="2">
    <cacheField name="[Range].[Item].[Item]" caption="Item" numFmtId="0" hierarchy="4" level="1">
      <sharedItems count="6">
        <s v="Keyboard"/>
        <s v="Monitor"/>
        <s v="Mouse"/>
        <s v="Printer"/>
        <s v="Scanner"/>
        <s v="Speaker"/>
      </sharedItems>
    </cacheField>
    <cacheField name="[Measures].[Sum of Amount]" caption="Sum of Amount"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398032406" backgroundQuery="1" createdVersion="8" refreshedVersion="8" minRefreshableVersion="3" recordCount="0" supportSubquery="1" supportAdvancedDrill="1" xr:uid="{B137E5DF-B57A-4206-A77F-08A7DC10DAFD}">
  <cacheSource type="external" connectionId="1"/>
  <cacheFields count="2">
    <cacheField name="[Range].[Item].[Item]" caption="Item" numFmtId="0" hierarchy="4" level="1">
      <sharedItems count="6">
        <s v="Keyboard"/>
        <s v="Monitor"/>
        <s v="Mouse"/>
        <s v="Printer"/>
        <s v="Scanner"/>
        <s v="Speaker"/>
      </sharedItems>
    </cacheField>
    <cacheField name="[Measures].[Sum of Amount]" caption="Sum of Amount"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398148145" backgroundQuery="1" createdVersion="8" refreshedVersion="8" minRefreshableVersion="3" recordCount="0" supportSubquery="1" supportAdvancedDrill="1" xr:uid="{37822F61-2B76-49B4-BA42-E38CDD210AD6}">
  <cacheSource type="external" connectionId="1"/>
  <cacheFields count="2">
    <cacheField name="[Range].[Item].[Item]" caption="Item" numFmtId="0" hierarchy="4" level="1">
      <sharedItems count="6">
        <s v="Keyboard"/>
        <s v="Monitor"/>
        <s v="Mouse"/>
        <s v="Printer"/>
        <s v="Scanner"/>
        <s v="Speaker"/>
      </sharedItems>
    </cacheField>
    <cacheField name="[Measures].[Count of Amount]" caption="Count of Amount" numFmtId="0" hierarchy="16"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398726853" backgroundQuery="1" createdVersion="8" refreshedVersion="8" minRefreshableVersion="3" recordCount="0" supportSubquery="1" supportAdvancedDrill="1" xr:uid="{B0C892E9-0D0E-432F-94DC-578DC64A8C28}">
  <cacheSource type="external" connectionId="1"/>
  <cacheFields count="3">
    <cacheField name="[Range].[Item].[Item]" caption="Item" numFmtId="0" hierarchy="4" level="1">
      <sharedItems count="6">
        <s v="Keyboard"/>
        <s v="Monitor"/>
        <s v="Mouse"/>
        <s v="Printer"/>
        <s v="Scanner"/>
        <s v="Speaker"/>
      </sharedItems>
    </cacheField>
    <cacheField name="[Measures].[Sum of Amount]" caption="Sum of Amount" numFmtId="0" hierarchy="14" level="32767"/>
    <cacheField name="[Range].[Date (Month)].[Date (Month)]" caption="Date (Month)" numFmtId="0" hierarchy="10" level="1">
      <sharedItems count="12">
        <s v="Jan"/>
        <s v="Feb"/>
        <s v="Mar"/>
        <s v="Apr"/>
        <s v="May"/>
        <s v="Jun"/>
        <s v="Jul"/>
        <s v="Aug"/>
        <s v="Sep"/>
        <s v="Oct"/>
        <s v="Nov"/>
        <s v="Dec"/>
      </sharedItems>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399305553" backgroundQuery="1" createdVersion="8" refreshedVersion="8" minRefreshableVersion="3" recordCount="0" supportSubquery="1" supportAdvancedDrill="1" xr:uid="{71C23B29-57EC-4C6B-ABDB-1158555FAF09}">
  <cacheSource type="external" connectionId="1"/>
  <cacheFields count="3">
    <cacheField name="[Measures].[Sum of Amount]" caption="Sum of Amount" numFmtId="0" hierarchy="14" level="32767"/>
    <cacheField name="[Range].[Salesman].[Salesman]" caption="Salesman" numFmtId="0" hierarchy="2" level="1">
      <sharedItems count="6">
        <s v="Ajit Kumar"/>
        <s v="Amit"/>
        <s v="Chandu"/>
        <s v="Ramesh"/>
        <s v="Rohit Das"/>
        <s v="Siddhu"/>
      </sharedItems>
    </cacheField>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399652777" backgroundQuery="1" createdVersion="8" refreshedVersion="8" minRefreshableVersion="3" recordCount="0" supportSubquery="1" supportAdvancedDrill="1" xr:uid="{21593E95-8DE5-4417-8275-6F4FC6C18EFC}">
  <cacheSource type="external" connectionId="1"/>
  <cacheFields count="3">
    <cacheField name="[Measures].[Sum of Amount]" caption="Sum of Amount" numFmtId="0" hierarchy="14" level="32767"/>
    <cacheField name="[Range].[Salesman].[Salesman]" caption="Salesman" numFmtId="0" hierarchy="2" level="1">
      <sharedItems count="3">
        <s v="Ajit Kumar"/>
        <s v="Rohit Das"/>
        <s v="Siddhu"/>
      </sharedItems>
    </cacheField>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4954" backgroundQuery="1" createdVersion="8" refreshedVersion="8" minRefreshableVersion="3" recordCount="0" supportSubquery="1" supportAdvancedDrill="1" xr:uid="{5594627E-362B-4DE6-9D67-C932790FEFD0}">
  <cacheSource type="external" connectionId="1"/>
  <cacheFields count="3">
    <cacheField name="[Measures].[Sum of Amount]" caption="Sum of Amount" numFmtId="0" hierarchy="14" level="32767"/>
    <cacheField name="[Range].[Salesman].[Salesman]" caption="Salesman" numFmtId="0" hierarchy="2" level="1">
      <sharedItems count="3">
        <s v="Amit"/>
        <s v="Chandu"/>
        <s v="Ramesh"/>
      </sharedItems>
    </cacheField>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98223263887" backgroundQuery="1" createdVersion="3" refreshedVersion="8" minRefreshableVersion="3" recordCount="0" supportSubquery="1" supportAdvancedDrill="1" xr:uid="{2864F4C8-D36D-4998-A34A-DA8082A83164}">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7434898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98220023146" backgroundQuery="1" createdVersion="3" refreshedVersion="8" minRefreshableVersion="3" recordCount="0" supportSubquery="1" supportAdvancedDrill="1" xr:uid="{CB5501F0-78FF-4879-A1F0-835598C84977}">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717002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A187F5-EC32-4E57-B73C-7B11110E01FC}" name="PivotTable8"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6" rowHeaderCaption="PRODUCT">
  <location ref="H23:H24" firstHeaderRow="1" firstDataRow="1" firstDataCol="0"/>
  <pivotFields count="2">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Count of Amount" fld="1" subtotal="count" baseField="0" baseItem="2115697472"/>
  </dataFields>
  <chartFormats count="5">
    <chartFormat chart="10" format="3"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 chart="107" format="0" series="1">
      <pivotArea type="data" outline="0" fieldPosition="0">
        <references count="1">
          <reference field="4294967294" count="1" selected="0">
            <x v="0"/>
          </reference>
        </references>
      </pivotArea>
    </chartFormat>
    <chartFormat chart="112" format="0" series="1">
      <pivotArea type="data" outline="0" fieldPosition="0">
        <references count="1">
          <reference field="4294967294" count="1" selected="0">
            <x v="0"/>
          </reference>
        </references>
      </pivotArea>
    </chartFormat>
    <chartFormat chart="115" format="14"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caption="Count of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0323D3-7151-445E-930D-6C7269C5424F}" name="PivotTable11"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2" rowHeaderCaption="PRODUCT">
  <location ref="H7:I20" firstHeaderRow="1" firstDataRow="1" firstDataCol="1"/>
  <pivotFields count="3">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dataFields count="1">
    <dataField name="Sum of Amount" fld="1" baseField="0" baseItem="0"/>
  </dataFields>
  <chartFormats count="3">
    <chartFormat chart="10" format="3"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 chart="101"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530409-358B-4DB7-85AA-158615F7E046}" name="PivotTable4"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0" rowHeaderCaption="PRODUCT">
  <location ref="L9:M16"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Qty" fld="1" baseField="0" baseItem="0"/>
  </dataFields>
  <chartFormats count="2">
    <chartFormat chart="13"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131A83-F0DC-4ABE-AA49-A6DA2B26CA90}" name="PivotTable2"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7" rowHeaderCaption="PRODUCT">
  <location ref="K21:L28"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Amount" fld="0" baseField="0" baseItem="0"/>
  </dataFields>
  <chartFormats count="7">
    <chartFormat chart="29"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075450-F14F-44D7-A429-572AA1680497}" name="PivotTable14"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3" rowHeaderCaption="PRODUCT">
  <location ref="O12:P16" firstHeaderRow="1" firstDataRow="1" firstDataCol="1"/>
  <pivotFields count="2">
    <pivotField axis="axisRow" allDrilled="1" subtotalTop="0" showAll="0" measureFilter="1" defaultSubtotal="0" defaultAttributeDrillState="1">
      <items count="6">
        <item x="0"/>
        <item x="3"/>
        <item x="5"/>
        <item x="4"/>
        <item x="1"/>
        <item x="2"/>
      </items>
    </pivotField>
    <pivotField dataField="1" subtotalTop="0" showAll="0" defaultSubtotal="0"/>
  </pivotFields>
  <rowFields count="1">
    <field x="0"/>
  </rowFields>
  <rowItems count="4">
    <i>
      <x/>
    </i>
    <i>
      <x v="4"/>
    </i>
    <i>
      <x v="5"/>
    </i>
    <i t="grand">
      <x/>
    </i>
  </rowItems>
  <colItems count="1">
    <i/>
  </colItems>
  <dataFields count="1">
    <dataField name="Count of Amount" fld="1" subtotal="count" baseField="0" baseItem="0"/>
  </dataFields>
  <chartFormats count="16">
    <chartFormat chart="100" format="0" series="1">
      <pivotArea type="data" outline="0" fieldPosition="0">
        <references count="1">
          <reference field="4294967294" count="1" selected="0">
            <x v="0"/>
          </reference>
        </references>
      </pivotArea>
    </chartFormat>
    <chartFormat chart="101" format="1" series="1">
      <pivotArea type="data" outline="0" fieldPosition="0">
        <references count="1">
          <reference field="4294967294" count="1" selected="0">
            <x v="0"/>
          </reference>
        </references>
      </pivotArea>
    </chartFormat>
    <chartFormat chart="102" format="2" series="1">
      <pivotArea type="data" outline="0" fieldPosition="0">
        <references count="1">
          <reference field="4294967294" count="1" selected="0">
            <x v="0"/>
          </reference>
        </references>
      </pivotArea>
    </chartFormat>
    <chartFormat chart="103" format="2" series="1">
      <pivotArea type="data" outline="0" fieldPosition="0">
        <references count="1">
          <reference field="4294967294" count="1" selected="0">
            <x v="0"/>
          </reference>
        </references>
      </pivotArea>
    </chartFormat>
    <chartFormat chart="103" format="3">
      <pivotArea type="data" outline="0" fieldPosition="0">
        <references count="2">
          <reference field="4294967294" count="1" selected="0">
            <x v="0"/>
          </reference>
          <reference field="0" count="1" selected="0">
            <x v="2"/>
          </reference>
        </references>
      </pivotArea>
    </chartFormat>
    <chartFormat chart="103" format="4">
      <pivotArea type="data" outline="0" fieldPosition="0">
        <references count="2">
          <reference field="4294967294" count="1" selected="0">
            <x v="0"/>
          </reference>
          <reference field="0" count="1" selected="0">
            <x v="1"/>
          </reference>
        </references>
      </pivotArea>
    </chartFormat>
    <chartFormat chart="103" format="5">
      <pivotArea type="data" outline="0" fieldPosition="0">
        <references count="2">
          <reference field="4294967294" count="1" selected="0">
            <x v="0"/>
          </reference>
          <reference field="0" count="1" selected="0">
            <x v="0"/>
          </reference>
        </references>
      </pivotArea>
    </chartFormat>
    <chartFormat chart="111" format="0" series="1">
      <pivotArea type="data" outline="0" fieldPosition="0">
        <references count="1">
          <reference field="4294967294" count="1" selected="0">
            <x v="0"/>
          </reference>
        </references>
      </pivotArea>
    </chartFormat>
    <chartFormat chart="111" format="1">
      <pivotArea type="data" outline="0" fieldPosition="0">
        <references count="2">
          <reference field="4294967294" count="1" selected="0">
            <x v="0"/>
          </reference>
          <reference field="0" count="1" selected="0">
            <x v="3"/>
          </reference>
        </references>
      </pivotArea>
    </chartFormat>
    <chartFormat chart="111" format="2">
      <pivotArea type="data" outline="0" fieldPosition="0">
        <references count="2">
          <reference field="4294967294" count="1" selected="0">
            <x v="0"/>
          </reference>
          <reference field="0" count="1" selected="0">
            <x v="2"/>
          </reference>
        </references>
      </pivotArea>
    </chartFormat>
    <chartFormat chart="111" format="3">
      <pivotArea type="data" outline="0" fieldPosition="0">
        <references count="2">
          <reference field="4294967294" count="1" selected="0">
            <x v="0"/>
          </reference>
          <reference field="0" count="1" selected="0">
            <x v="1"/>
          </reference>
        </references>
      </pivotArea>
    </chartFormat>
    <chartFormat chart="112" format="4" series="1">
      <pivotArea type="data" outline="0" fieldPosition="0">
        <references count="1">
          <reference field="4294967294" count="1" selected="0">
            <x v="0"/>
          </reference>
        </references>
      </pivotArea>
    </chartFormat>
    <chartFormat chart="112" format="5">
      <pivotArea type="data" outline="0" fieldPosition="0">
        <references count="2">
          <reference field="4294967294" count="1" selected="0">
            <x v="0"/>
          </reference>
          <reference field="0" count="1" selected="0">
            <x v="1"/>
          </reference>
        </references>
      </pivotArea>
    </chartFormat>
    <chartFormat chart="112" format="6">
      <pivotArea type="data" outline="0" fieldPosition="0">
        <references count="2">
          <reference field="4294967294" count="1" selected="0">
            <x v="0"/>
          </reference>
          <reference field="0" count="1" selected="0">
            <x v="2"/>
          </reference>
        </references>
      </pivotArea>
    </chartFormat>
    <chartFormat chart="112" format="7">
      <pivotArea type="data" outline="0" fieldPosition="0">
        <references count="2">
          <reference field="4294967294" count="1" selected="0">
            <x v="0"/>
          </reference>
          <reference field="0" count="1" selected="0">
            <x v="3"/>
          </reference>
        </references>
      </pivotArea>
    </chartFormat>
    <chartFormat chart="103" format="6">
      <pivotArea type="data" outline="0" fieldPosition="0">
        <references count="2">
          <reference field="4294967294" count="1" selected="0">
            <x v="0"/>
          </reference>
          <reference field="0" count="1" selected="0">
            <x v="3"/>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caption="Count of Amount"/>
  </pivotHierarchies>
  <pivotTableStyleInfo name="PivotStyleLight16" showRowHeaders="1" showColHeaders="1" showRowStripes="0" showColStripes="0" showLastColumn="1"/>
  <filters count="1">
    <filter fld="0" type="count" id="2" iMeasureHier="16">
      <autoFilter ref="A1">
        <filterColumn colId="0">
          <top10 top="0" val="3" filterVal="3"/>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DF7118-DD91-48C9-83E2-7E4A38BE2241}" name="PivotTable3"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2" rowHeaderCaption="PRODUCT">
  <location ref="A3:B7" firstHeaderRow="1" firstDataRow="1" firstDataCol="1"/>
  <pivotFields count="3">
    <pivotField dataField="1" subtotalTop="0" showAll="0" defaultSubtotal="0"/>
    <pivotField axis="axisRow" allDrilled="1" subtotalTop="0" showAll="0" measureFilter="1" sortType="ascending"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0" baseField="0" baseItem="0" numFmtId="3"/>
  </dataFields>
  <formats count="1">
    <format dxfId="0">
      <pivotArea outline="0" collapsedLevelsAreSubtotals="1" fieldPosition="0"/>
    </format>
  </formats>
  <chartFormats count="3">
    <chartFormat chart="29"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1" count="1" selected="0">
            <x v="2"/>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pivotHierarchies>
  <pivotTableStyleInfo name="PivotStyleLight16" showRowHeaders="1" showColHeaders="1" showRowStripes="0" showColStripes="0" showLastColumn="1"/>
  <filters count="1">
    <filter fld="1" type="count" id="1" iMeasureHier="14">
      <autoFilter ref="A1">
        <filterColumn colId="0">
          <top1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A0EECF-31A3-4F40-BD7A-EE76C5B4A0DD}" name="PivotTable13"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3" rowHeaderCaption="PRODUCT">
  <location ref="O3:P7" firstHeaderRow="1" firstDataRow="1" firstDataCol="1"/>
  <pivotFields count="2">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1"/>
    </i>
    <i>
      <x v="2"/>
    </i>
    <i t="grand">
      <x/>
    </i>
  </rowItems>
  <colItems count="1">
    <i/>
  </colItems>
  <dataFields count="1">
    <dataField name="Count of Amount" fld="1" subtotal="count" baseField="0" baseItem="1" numFmtId="3"/>
  </dataFields>
  <formats count="2">
    <format dxfId="2">
      <pivotArea outline="0" collapsedLevelsAreSubtotals="1" fieldPosition="0"/>
    </format>
    <format dxfId="1">
      <pivotArea dataOnly="0" labelOnly="1" outline="0" axis="axisValues" fieldPosition="0"/>
    </format>
  </formats>
  <chartFormats count="4">
    <chartFormat chart="10" format="3"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 chart="99" format="0" series="1">
      <pivotArea type="data" outline="0" fieldPosition="0">
        <references count="1">
          <reference field="4294967294" count="1" selected="0">
            <x v="0"/>
          </reference>
        </references>
      </pivotArea>
    </chartFormat>
    <chartFormat chart="102"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caption="Count of Amount"/>
  </pivotHierarchies>
  <pivotTableStyleInfo name="PivotStyleLight16" showRowHeaders="1" showColHeaders="1" showRowStripes="0" showColStripes="0" showLastColumn="1"/>
  <filters count="1">
    <filter fld="0" type="count" id="2" iMeasureHier="16">
      <autoFilter ref="A1">
        <filterColumn colId="0">
          <top10 val="3" filterVal="3"/>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BF3C7D-C96F-4E95-BDD9-DCAFBDCA7799}" name="PivotTable6"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6" rowHeaderCaption="PRODUCT">
  <location ref="E22:E23" firstHeaderRow="1" firstDataRow="1" firstDataCol="0"/>
  <pivotFields count="2">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Sum of Amount" fld="1" baseField="0" baseItem="0"/>
  </dataFields>
  <chartFormats count="5">
    <chartFormat chart="10" format="3"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 chart="107" format="0" series="1">
      <pivotArea type="data" outline="0" fieldPosition="0">
        <references count="1">
          <reference field="4294967294" count="1" selected="0">
            <x v="0"/>
          </reference>
        </references>
      </pivotArea>
    </chartFormat>
    <chartFormat chart="112" format="0" series="1">
      <pivotArea type="data" outline="0" fieldPosition="0">
        <references count="1">
          <reference field="4294967294" count="1" selected="0">
            <x v="0"/>
          </reference>
        </references>
      </pivotArea>
    </chartFormat>
    <chartFormat chart="115" format="14"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4F5C97-ABAE-4F86-9EA9-30FDC2F11E90}" name="PivotTable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6" rowHeaderCaption="PRODUCT">
  <location ref="E12:F19"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3"/>
    </i>
    <i>
      <x v="4"/>
    </i>
    <i>
      <x v="1"/>
    </i>
    <i>
      <x v="2"/>
    </i>
    <i>
      <x v="5"/>
    </i>
    <i>
      <x/>
    </i>
    <i t="grand">
      <x/>
    </i>
  </rowItems>
  <colItems count="1">
    <i/>
  </colItems>
  <dataFields count="1">
    <dataField name="Sum of Amount" fld="1" showDataAs="percentOfTotal" baseField="0" baseItem="0" numFmtId="10"/>
  </dataFields>
  <chartFormats count="9">
    <chartFormat chart="10" format="3"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 chart="115" format="14" series="1">
      <pivotArea type="data" outline="0" fieldPosition="0">
        <references count="1">
          <reference field="4294967294" count="1" selected="0">
            <x v="0"/>
          </reference>
        </references>
      </pivotArea>
    </chartFormat>
    <chartFormat chart="115" format="15">
      <pivotArea type="data" outline="0" fieldPosition="0">
        <references count="2">
          <reference field="4294967294" count="1" selected="0">
            <x v="0"/>
          </reference>
          <reference field="0" count="1" selected="0">
            <x v="3"/>
          </reference>
        </references>
      </pivotArea>
    </chartFormat>
    <chartFormat chart="115" format="16">
      <pivotArea type="data" outline="0" fieldPosition="0">
        <references count="2">
          <reference field="4294967294" count="1" selected="0">
            <x v="0"/>
          </reference>
          <reference field="0" count="1" selected="0">
            <x v="4"/>
          </reference>
        </references>
      </pivotArea>
    </chartFormat>
    <chartFormat chart="115" format="17">
      <pivotArea type="data" outline="0" fieldPosition="0">
        <references count="2">
          <reference field="4294967294" count="1" selected="0">
            <x v="0"/>
          </reference>
          <reference field="0" count="1" selected="0">
            <x v="1"/>
          </reference>
        </references>
      </pivotArea>
    </chartFormat>
    <chartFormat chart="115" format="18">
      <pivotArea type="data" outline="0" fieldPosition="0">
        <references count="2">
          <reference field="4294967294" count="1" selected="0">
            <x v="0"/>
          </reference>
          <reference field="0" count="1" selected="0">
            <x v="2"/>
          </reference>
        </references>
      </pivotArea>
    </chartFormat>
    <chartFormat chart="115" format="19">
      <pivotArea type="data" outline="0" fieldPosition="0">
        <references count="2">
          <reference field="4294967294" count="1" selected="0">
            <x v="0"/>
          </reference>
          <reference field="0" count="1" selected="0">
            <x v="5"/>
          </reference>
        </references>
      </pivotArea>
    </chartFormat>
    <chartFormat chart="115" format="20">
      <pivotArea type="data" outline="0" fieldPosition="0">
        <references count="2">
          <reference field="4294967294" count="1" selected="0">
            <x v="0"/>
          </reference>
          <reference field="0"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5BB43E-9288-459F-AA83-46A66BEC43B4}" name="PivotTable9"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8" rowHeaderCaption="PRODUCT">
  <location ref="A12:B16" firstHeaderRow="1" firstDataRow="1" firstDataCol="1"/>
  <pivotFields count="3">
    <pivotField dataField="1" subtotalTop="0" showAll="0" defaultSubtotal="0"/>
    <pivotField axis="axisRow" allDrilled="1" subtotalTop="0" showAll="0" measureFilter="1" sortType="ascending"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0" baseField="0" baseItem="0" numFmtId="3"/>
  </dataFields>
  <formats count="1">
    <format dxfId="3">
      <pivotArea outline="0" collapsedLevelsAreSubtotals="1" fieldPosition="0"/>
    </format>
  </formats>
  <chartFormats count="9">
    <chartFormat chart="10" format="3"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pivotHierarchies>
  <pivotTableStyleInfo name="PivotStyleLight16" showRowHeaders="1" showColHeaders="1" showRowStripes="0" showColStripes="0" showLastColumn="1"/>
  <filters count="1">
    <filter fld="1" type="count" id="2" iMeasureHier="14">
      <autoFilter ref="A1">
        <filterColumn colId="0">
          <top10 top="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0096A0-37E3-47BD-831C-5CE91B1EFB12}" name="PivotTable7"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6" rowHeaderCaption="PRODUCT">
  <location ref="D3:E10"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3"/>
    </i>
    <i>
      <x v="4"/>
    </i>
    <i>
      <x v="1"/>
    </i>
    <i>
      <x v="2"/>
    </i>
    <i>
      <x v="5"/>
    </i>
    <i>
      <x/>
    </i>
    <i t="grand">
      <x/>
    </i>
  </rowItems>
  <colItems count="1">
    <i/>
  </colItems>
  <dataFields count="1">
    <dataField name="Sum of Amount" fld="1" baseField="0" baseItem="0"/>
  </dataFields>
  <chartFormats count="2">
    <chartFormat chart="10" format="3"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DUCT"/>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1BEB3A-F4D1-4A57-8D9B-EE9A2D0518DD}" sourceName="[Range].[Region]">
  <pivotTables>
    <pivotTable tabId="5" name="PivotTable1"/>
    <pivotTable tabId="5" name="PivotTable3"/>
    <pivotTable tabId="5" name="PivotTable4"/>
    <pivotTable tabId="5" name="PivotTable6"/>
    <pivotTable tabId="5" name="PivotTable7"/>
    <pivotTable tabId="5" name="PivotTable8"/>
    <pivotTable tabId="5" name="PivotTable9"/>
    <pivotTable tabId="5" name="PivotTable11"/>
    <pivotTable tabId="5" name="PivotTable13"/>
    <pivotTable tabId="5" name="PivotTable14"/>
    <pivotTable tabId="5" name="PivotTable2"/>
  </pivotTables>
  <data>
    <olap pivotCacheId="74348981">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B614334-A998-4D57-8A1C-0F887CED5F1A}" sourceName="[Range].[Item]">
  <pivotTables>
    <pivotTable tabId="5" name="PivotTable1"/>
    <pivotTable tabId="5" name="PivotTable4"/>
    <pivotTable tabId="5" name="PivotTable7"/>
    <pivotTable tabId="5" name="PivotTable6"/>
    <pivotTable tabId="5" name="PivotTable8"/>
    <pivotTable tabId="5" name="PivotTable11"/>
    <pivotTable tabId="5" name="PivotTable2"/>
    <pivotTable tabId="5" name="PivotTable3"/>
    <pivotTable tabId="5" name="PivotTable9"/>
  </pivotTables>
  <data>
    <olap pivotCacheId="74348981">
      <levels count="2">
        <level uniqueName="[Range].[Item].[(All)]" sourceCaption="(All)" count="0"/>
        <level uniqueName="[Range].[Item].[Item]" sourceCaption="Item" count="6">
          <ranges>
            <range startItem="0">
              <i n="[Range].[Item].&amp;[Keyboard]" c="Keyboard"/>
              <i n="[Range].[Item].&amp;[Monitor]" c="Monitor"/>
              <i n="[Range].[Item].&amp;[Mouse]" c="Mouse"/>
              <i n="[Range].[Item].&amp;[Printer]" c="Printer"/>
              <i n="[Range].[Item].&amp;[Scanner]" c="Scanner"/>
              <i n="[Range].[Item].&amp;[Speaker]" c="Speaker"/>
            </range>
          </ranges>
        </level>
      </levels>
      <selections count="1">
        <selection n="[Range].[Ite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1C86D8C9-3A61-4558-A9C6-BC20138339E8}" cache="Slicer_Region" caption="Region" columnCount="2" level="1" rowHeight="241300"/>
  <slicer name="Item 4" xr10:uid="{57FBE603-20A4-4B93-8AB1-BABF3700495D}" cache="Slicer_Item" caption="Item" columnCount="6"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DDF6D6F9-63E2-4192-9D3E-B3C08EAC711F}" cache="Slicer_Region" caption="Region" columnCount="2" level="1" rowHeight="241300"/>
  <slicer name="Item 3" xr10:uid="{7A0D9D88-5283-4A92-969D-DD705F0F6281}" cache="Slicer_Item" caption="Item" columnCount="6"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65F97681-C62C-46B1-9942-2D0954A4C43F}" cache="Slicer_Region" caption="Region" columnCount="2" level="1" rowHeight="241300"/>
  <slicer name="Item 2" xr10:uid="{D11A4B91-A074-41B2-810E-C499759419F2}" cache="Slicer_Item" caption="Item" columnCount="6"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A704D89-1F57-4300-B735-6DD635837F34}" cache="Slicer_Region" caption="Region" columnCount="2" level="1" rowHeight="241300"/>
  <slicer name="Item 1" xr10:uid="{C2CD142C-16A9-4A94-8FFA-F7F756BB8372}" cache="Slicer_Item" caption="Item" columnCount="6"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205FF68-66B1-4EA1-9F0C-8F73EDC2591D}" sourceName="[Range].[Date]">
  <pivotTables>
    <pivotTable tabId="5" name="PivotTable1"/>
    <pivotTable tabId="5" name="PivotTable3"/>
    <pivotTable tabId="5" name="PivotTable4"/>
    <pivotTable tabId="5" name="PivotTable6"/>
    <pivotTable tabId="5" name="PivotTable7"/>
    <pivotTable tabId="5" name="PivotTable8"/>
    <pivotTable tabId="5" name="PivotTable9"/>
    <pivotTable tabId="5" name="PivotTable11"/>
    <pivotTable tabId="5" name="PivotTable13"/>
    <pivotTable tabId="5" name="PivotTable14"/>
    <pivotTable tabId="5" name="PivotTable2"/>
  </pivotTables>
  <state minimalRefreshVersion="6" lastRefreshVersion="6" pivotCacheId="171700207"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9F8D3377-06E8-4558-A8D7-D3B402F430C2}" cache="Timeline_Date" caption="Date" level="2" selectionLevel="2"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FD8ECA6B-210A-45C9-B521-7436E31B34C2}" cache="Timeline_Date" caption="Date" level="2" selectionLevel="2" scrollPosition="2022-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0BD28388-2D64-4AB2-8C69-0D0296564107}" cache="Timeline_Date" caption="Date" level="2" selectionLevel="2" scrollPosition="2022-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A2B518B-EC34-4192-BC7E-FBA38FEEF5F1}" cache="Timeline_Date" caption="Date" level="2" selectionLevel="2" scrollPosition="2022-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33EE3-5AAD-40E5-8C2F-7B92DA1EF83D}">
  <dimension ref="A1"/>
  <sheetViews>
    <sheetView showGridLines="0" topLeftCell="A14" workbookViewId="0">
      <selection activeCell="B2" sqref="B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D89CA-188A-4890-9445-E8D6033597DC}">
  <dimension ref="A1"/>
  <sheetViews>
    <sheetView showGridLine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95AD3-17DC-43AB-A318-6C7EACC714C9}">
  <dimension ref="A1"/>
  <sheetViews>
    <sheetView showGridLines="0" workbookViewId="0">
      <selection activeCell="T13" sqref="T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1644A-31DE-44AF-85CA-475D3E605FD6}">
  <dimension ref="A3:P28"/>
  <sheetViews>
    <sheetView topLeftCell="B2" zoomScale="93" zoomScaleNormal="93" workbookViewId="0">
      <selection activeCell="P6" sqref="P6"/>
    </sheetView>
  </sheetViews>
  <sheetFormatPr defaultRowHeight="15" x14ac:dyDescent="0.25"/>
  <cols>
    <col min="1" max="1" width="12.140625" bestFit="1" customWidth="1"/>
    <col min="2" max="2" width="15.28515625" bestFit="1" customWidth="1"/>
    <col min="3" max="3" width="14.85546875" bestFit="1" customWidth="1"/>
    <col min="4" max="4" width="12.140625" bestFit="1" customWidth="1"/>
    <col min="5" max="6" width="15.28515625" bestFit="1" customWidth="1"/>
    <col min="8" max="8" width="12.140625" bestFit="1" customWidth="1"/>
    <col min="9" max="9" width="15.28515625" bestFit="1" customWidth="1"/>
    <col min="10" max="10" width="10.7109375" bestFit="1" customWidth="1"/>
    <col min="11" max="11" width="12.140625" bestFit="1" customWidth="1"/>
    <col min="12" max="12" width="15.28515625" bestFit="1" customWidth="1"/>
    <col min="13" max="13" width="11.140625" bestFit="1" customWidth="1"/>
    <col min="15" max="15" width="12.140625" bestFit="1" customWidth="1"/>
    <col min="16" max="16" width="16.85546875" bestFit="1" customWidth="1"/>
  </cols>
  <sheetData>
    <row r="3" spans="1:16" x14ac:dyDescent="0.25">
      <c r="A3" s="3" t="s">
        <v>25</v>
      </c>
      <c r="B3" t="s">
        <v>26</v>
      </c>
      <c r="D3" s="3" t="s">
        <v>25</v>
      </c>
      <c r="E3" t="s">
        <v>26</v>
      </c>
      <c r="O3" s="3" t="s">
        <v>25</v>
      </c>
      <c r="P3" s="6" t="s">
        <v>28</v>
      </c>
    </row>
    <row r="4" spans="1:16" x14ac:dyDescent="0.25">
      <c r="A4" s="4" t="s">
        <v>8</v>
      </c>
      <c r="B4" s="6">
        <v>386030</v>
      </c>
      <c r="D4" s="4" t="s">
        <v>13</v>
      </c>
      <c r="E4" s="7">
        <v>934500</v>
      </c>
      <c r="G4" s="4"/>
      <c r="O4" s="4" t="s">
        <v>10</v>
      </c>
      <c r="P4" s="6">
        <v>80</v>
      </c>
    </row>
    <row r="5" spans="1:16" x14ac:dyDescent="0.25">
      <c r="A5" s="4" t="s">
        <v>11</v>
      </c>
      <c r="B5" s="6">
        <v>394410</v>
      </c>
      <c r="D5" s="4" t="s">
        <v>17</v>
      </c>
      <c r="E5" s="7">
        <v>352200</v>
      </c>
      <c r="G5" s="4"/>
      <c r="O5" s="4" t="s">
        <v>13</v>
      </c>
      <c r="P5" s="6">
        <v>73</v>
      </c>
    </row>
    <row r="6" spans="1:16" x14ac:dyDescent="0.25">
      <c r="A6" s="4" t="s">
        <v>20</v>
      </c>
      <c r="B6" s="6">
        <v>551960</v>
      </c>
      <c r="D6" s="4" t="s">
        <v>15</v>
      </c>
      <c r="E6" s="7">
        <v>339000</v>
      </c>
      <c r="G6" s="4"/>
      <c r="O6" s="4" t="s">
        <v>19</v>
      </c>
      <c r="P6" s="6">
        <v>61</v>
      </c>
    </row>
    <row r="7" spans="1:16" x14ac:dyDescent="0.25">
      <c r="A7" s="4" t="s">
        <v>24</v>
      </c>
      <c r="B7" s="6">
        <v>1332400</v>
      </c>
      <c r="D7" s="4" t="s">
        <v>10</v>
      </c>
      <c r="E7" s="7">
        <v>66150</v>
      </c>
      <c r="H7" s="3" t="s">
        <v>25</v>
      </c>
      <c r="I7" t="s">
        <v>26</v>
      </c>
      <c r="O7" s="4" t="s">
        <v>24</v>
      </c>
      <c r="P7" s="6">
        <v>214</v>
      </c>
    </row>
    <row r="8" spans="1:16" x14ac:dyDescent="0.25">
      <c r="D8" s="4" t="s">
        <v>19</v>
      </c>
      <c r="E8" s="7">
        <v>65400</v>
      </c>
      <c r="H8" s="4" t="s">
        <v>29</v>
      </c>
      <c r="I8" s="7">
        <v>143130</v>
      </c>
    </row>
    <row r="9" spans="1:16" x14ac:dyDescent="0.25">
      <c r="D9" s="4" t="s">
        <v>21</v>
      </c>
      <c r="E9" s="7">
        <v>25320</v>
      </c>
      <c r="H9" s="4" t="s">
        <v>30</v>
      </c>
      <c r="I9" s="7">
        <v>224470</v>
      </c>
      <c r="L9" s="3" t="s">
        <v>25</v>
      </c>
      <c r="M9" t="s">
        <v>27</v>
      </c>
    </row>
    <row r="10" spans="1:16" x14ac:dyDescent="0.25">
      <c r="D10" s="4" t="s">
        <v>24</v>
      </c>
      <c r="E10" s="7">
        <v>1782570</v>
      </c>
      <c r="H10" s="4" t="s">
        <v>31</v>
      </c>
      <c r="I10" s="7">
        <v>86100</v>
      </c>
      <c r="L10" s="4" t="s">
        <v>21</v>
      </c>
      <c r="M10" s="7">
        <v>132</v>
      </c>
    </row>
    <row r="11" spans="1:16" x14ac:dyDescent="0.25">
      <c r="H11" s="4" t="s">
        <v>32</v>
      </c>
      <c r="I11" s="7">
        <v>153530</v>
      </c>
      <c r="L11" s="4" t="s">
        <v>15</v>
      </c>
      <c r="M11" s="7">
        <v>251</v>
      </c>
    </row>
    <row r="12" spans="1:16" x14ac:dyDescent="0.25">
      <c r="A12" s="3" t="s">
        <v>25</v>
      </c>
      <c r="B12" t="s">
        <v>26</v>
      </c>
      <c r="E12" s="3" t="s">
        <v>25</v>
      </c>
      <c r="F12" t="s">
        <v>26</v>
      </c>
      <c r="H12" s="4" t="s">
        <v>33</v>
      </c>
      <c r="I12" s="7">
        <v>110160</v>
      </c>
      <c r="L12" s="4" t="s">
        <v>10</v>
      </c>
      <c r="M12" s="7">
        <v>319</v>
      </c>
      <c r="O12" s="3" t="s">
        <v>25</v>
      </c>
      <c r="P12" t="s">
        <v>28</v>
      </c>
    </row>
    <row r="13" spans="1:16" x14ac:dyDescent="0.25">
      <c r="A13" s="4" t="s">
        <v>16</v>
      </c>
      <c r="B13" s="6">
        <v>184690</v>
      </c>
      <c r="E13" s="4" t="s">
        <v>13</v>
      </c>
      <c r="F13" s="5">
        <v>0.52424308722799107</v>
      </c>
      <c r="H13" s="4" t="s">
        <v>34</v>
      </c>
      <c r="I13" s="7">
        <v>118530</v>
      </c>
      <c r="L13" s="4" t="s">
        <v>13</v>
      </c>
      <c r="M13" s="7">
        <v>445</v>
      </c>
      <c r="O13" s="4" t="s">
        <v>21</v>
      </c>
      <c r="P13" s="7">
        <v>54</v>
      </c>
    </row>
    <row r="14" spans="1:16" x14ac:dyDescent="0.25">
      <c r="A14" s="4" t="s">
        <v>18</v>
      </c>
      <c r="B14" s="6">
        <v>125600</v>
      </c>
      <c r="E14" s="4" t="s">
        <v>17</v>
      </c>
      <c r="F14" s="5">
        <v>0.1975798986856056</v>
      </c>
      <c r="H14" s="4" t="s">
        <v>35</v>
      </c>
      <c r="I14" s="7">
        <v>130100</v>
      </c>
      <c r="L14" s="4" t="s">
        <v>17</v>
      </c>
      <c r="M14" s="7">
        <v>242</v>
      </c>
      <c r="O14" s="4" t="s">
        <v>15</v>
      </c>
      <c r="P14" s="7">
        <v>45</v>
      </c>
    </row>
    <row r="15" spans="1:16" x14ac:dyDescent="0.25">
      <c r="A15" s="4" t="s">
        <v>14</v>
      </c>
      <c r="B15" s="6">
        <v>139880</v>
      </c>
      <c r="E15" s="4" t="s">
        <v>15</v>
      </c>
      <c r="F15" s="5">
        <v>0.19017485989330013</v>
      </c>
      <c r="H15" s="4" t="s">
        <v>36</v>
      </c>
      <c r="I15" s="7">
        <v>156300</v>
      </c>
      <c r="L15" s="4" t="s">
        <v>19</v>
      </c>
      <c r="M15" s="7">
        <v>218</v>
      </c>
      <c r="O15" s="4" t="s">
        <v>17</v>
      </c>
      <c r="P15" s="7">
        <v>53</v>
      </c>
    </row>
    <row r="16" spans="1:16" x14ac:dyDescent="0.25">
      <c r="A16" s="4" t="s">
        <v>24</v>
      </c>
      <c r="B16" s="6">
        <v>450170</v>
      </c>
      <c r="E16" s="4" t="s">
        <v>10</v>
      </c>
      <c r="F16" s="5">
        <v>3.7109342129621838E-2</v>
      </c>
      <c r="H16" s="4" t="s">
        <v>37</v>
      </c>
      <c r="I16" s="7">
        <v>223770</v>
      </c>
      <c r="L16" s="4" t="s">
        <v>24</v>
      </c>
      <c r="M16" s="7">
        <v>1607</v>
      </c>
      <c r="O16" s="4" t="s">
        <v>24</v>
      </c>
      <c r="P16" s="7">
        <v>152</v>
      </c>
    </row>
    <row r="17" spans="2:12" x14ac:dyDescent="0.25">
      <c r="E17" s="4" t="s">
        <v>19</v>
      </c>
      <c r="F17" s="5">
        <v>3.6688601289149934E-2</v>
      </c>
      <c r="H17" s="4" t="s">
        <v>38</v>
      </c>
      <c r="I17" s="7">
        <v>197350</v>
      </c>
    </row>
    <row r="18" spans="2:12" x14ac:dyDescent="0.25">
      <c r="E18" s="4" t="s">
        <v>21</v>
      </c>
      <c r="F18" s="5">
        <v>1.4204210774331443E-2</v>
      </c>
      <c r="H18" s="4" t="s">
        <v>39</v>
      </c>
      <c r="I18" s="7">
        <v>31520</v>
      </c>
    </row>
    <row r="19" spans="2:12" x14ac:dyDescent="0.25">
      <c r="E19" s="4" t="s">
        <v>24</v>
      </c>
      <c r="F19" s="5">
        <v>1</v>
      </c>
      <c r="H19" s="4" t="s">
        <v>40</v>
      </c>
      <c r="I19" s="7">
        <v>207610</v>
      </c>
    </row>
    <row r="20" spans="2:12" x14ac:dyDescent="0.25">
      <c r="H20" s="4" t="s">
        <v>24</v>
      </c>
      <c r="I20" s="7">
        <v>1782570</v>
      </c>
    </row>
    <row r="21" spans="2:12" x14ac:dyDescent="0.25">
      <c r="K21" s="3" t="s">
        <v>25</v>
      </c>
      <c r="L21" t="s">
        <v>26</v>
      </c>
    </row>
    <row r="22" spans="2:12" x14ac:dyDescent="0.25">
      <c r="B22" s="6"/>
      <c r="E22" t="s">
        <v>26</v>
      </c>
      <c r="K22" s="4" t="s">
        <v>8</v>
      </c>
      <c r="L22" s="7">
        <v>386030</v>
      </c>
    </row>
    <row r="23" spans="2:12" x14ac:dyDescent="0.25">
      <c r="E23" s="7">
        <v>1782570</v>
      </c>
      <c r="F23" s="6">
        <f>GETPIVOTDATA("[Measures].[Sum of Amount]",$E$22)</f>
        <v>1782570</v>
      </c>
      <c r="H23" t="s">
        <v>28</v>
      </c>
      <c r="K23" s="4" t="s">
        <v>16</v>
      </c>
      <c r="L23" s="7">
        <v>184690</v>
      </c>
    </row>
    <row r="24" spans="2:12" x14ac:dyDescent="0.25">
      <c r="H24" s="7">
        <v>366</v>
      </c>
      <c r="I24">
        <f>GETPIVOTDATA("[Measures].[Count of Amount]",$H$23)</f>
        <v>366</v>
      </c>
      <c r="K24" s="4" t="s">
        <v>18</v>
      </c>
      <c r="L24" s="7">
        <v>125600</v>
      </c>
    </row>
    <row r="25" spans="2:12" x14ac:dyDescent="0.25">
      <c r="K25" s="4" t="s">
        <v>14</v>
      </c>
      <c r="L25" s="7">
        <v>139880</v>
      </c>
    </row>
    <row r="26" spans="2:12" x14ac:dyDescent="0.25">
      <c r="K26" s="4" t="s">
        <v>11</v>
      </c>
      <c r="L26" s="7">
        <v>394410</v>
      </c>
    </row>
    <row r="27" spans="2:12" x14ac:dyDescent="0.25">
      <c r="K27" s="4" t="s">
        <v>20</v>
      </c>
      <c r="L27" s="7">
        <v>551960</v>
      </c>
    </row>
    <row r="28" spans="2:12" x14ac:dyDescent="0.25">
      <c r="K28" s="4" t="s">
        <v>24</v>
      </c>
      <c r="L28" s="7">
        <v>1782570</v>
      </c>
    </row>
  </sheetData>
  <pageMargins left="0.7" right="0.7" top="0.75" bottom="0.75" header="0.3" footer="0.3"/>
  <pageSetup paperSize="9"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workbookViewId="0">
      <selection activeCell="G10" sqref="A1:H367"/>
    </sheetView>
  </sheetViews>
  <sheetFormatPr defaultRowHeight="15" x14ac:dyDescent="0.25"/>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C542A-EA12-4805-8BFF-877026D289B2}">
  <dimension ref="A1"/>
  <sheetViews>
    <sheetView showGridLines="0" tabSelected="1" topLeftCell="A4" workbookViewId="0">
      <selection activeCell="S27" sqref="S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SALESMANS</vt:lpstr>
      <vt:lpstr>PRODUCTS</vt:lpstr>
      <vt:lpstr>PIVOT</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HP</cp:lastModifiedBy>
  <dcterms:created xsi:type="dcterms:W3CDTF">2026-09-01T03:42:09Z</dcterms:created>
  <dcterms:modified xsi:type="dcterms:W3CDTF">2026-09-23T07:06:46Z</dcterms:modified>
</cp:coreProperties>
</file>